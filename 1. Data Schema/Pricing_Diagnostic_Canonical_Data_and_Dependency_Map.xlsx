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intastiq-my.sharepoint.com/personal/raghav_fintastiq_com/Documents/Desktop/Project Pricing Diagnostics/"/>
    </mc:Choice>
  </mc:AlternateContent>
  <xr:revisionPtr revIDLastSave="1" documentId="11_0DC26C21A5581F33EBE9F7720EE3174FADF63A98" xr6:coauthVersionLast="47" xr6:coauthVersionMax="47" xr10:uidLastSave="{EC569521-AAB8-4765-B132-6C7BBB9A688C}"/>
  <bookViews>
    <workbookView xWindow="-108" yWindow="-108" windowWidth="23256" windowHeight="12456" tabRatio="500" xr2:uid="{00000000-000D-0000-FFFF-FFFF00000000}"/>
  </bookViews>
  <sheets>
    <sheet name="Coverage Notes" sheetId="1" r:id="rId1"/>
    <sheet name="Field Dependency Map" sheetId="2" r:id="rId2"/>
    <sheet name="Analyses Summary" sheetId="3" r:id="rId3"/>
    <sheet name="Transactions (Fact)" sheetId="4" r:id="rId4"/>
    <sheet name="Customer (Dim)" sheetId="5" r:id="rId5"/>
    <sheet name="Product (Dim)" sheetId="6" r:id="rId6"/>
    <sheet name="Sales Rep (Dim)" sheetId="7" r:id="rId7"/>
    <sheet name="Deals (Fact)" sheetId="8" r:id="rId8"/>
    <sheet name="Contracts" sheetId="9" r:id="rId9"/>
    <sheet name="Promotions" sheetId="10" r:id="rId10"/>
    <sheet name="Cost-to-Serve" sheetId="11" r:id="rId11"/>
    <sheet name="Competitive Intel" sheetId="12" r:id="rId12"/>
    <sheet name="List Price History" sheetId="13" r:id="rId13"/>
    <sheet name="Churn Events" sheetId="14" r:id="rId14"/>
    <sheet name="Opportunity Sizing (Output)" sheetId="15" r:id="rId15"/>
  </sheets>
  <definedNames>
    <definedName name="_xlnm._FilterDatabase" localSheetId="1" hidden="1">'Field Dependency Map'!$A$4:$AA$156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4" i="15" l="1"/>
  <c r="E14" i="15"/>
  <c r="J13" i="15"/>
  <c r="J12" i="15"/>
  <c r="J11" i="15"/>
  <c r="J10" i="15"/>
  <c r="J9" i="15"/>
  <c r="J8" i="15"/>
  <c r="J7" i="15"/>
  <c r="J6" i="15"/>
  <c r="J5" i="15"/>
  <c r="J4" i="15"/>
  <c r="C13" i="14"/>
  <c r="C12" i="14"/>
  <c r="C11" i="14"/>
  <c r="C10" i="14"/>
  <c r="J9" i="14"/>
  <c r="C9" i="14"/>
  <c r="C8" i="14"/>
  <c r="C7" i="14"/>
  <c r="J6" i="14"/>
  <c r="C6" i="14"/>
  <c r="C5" i="14"/>
  <c r="C4" i="14"/>
  <c r="I13" i="11"/>
  <c r="I12" i="11"/>
  <c r="I11" i="11"/>
  <c r="I10" i="11"/>
  <c r="I9" i="11"/>
  <c r="I8" i="11"/>
  <c r="I7" i="11"/>
  <c r="I6" i="11"/>
  <c r="I5" i="11"/>
  <c r="I4" i="11"/>
  <c r="J18" i="9"/>
  <c r="J17" i="9"/>
  <c r="J16" i="9"/>
  <c r="J15" i="9"/>
  <c r="J14" i="9"/>
  <c r="J13" i="9"/>
  <c r="J12" i="9"/>
  <c r="J11" i="9"/>
  <c r="J10" i="9"/>
  <c r="J9" i="9"/>
  <c r="J8" i="9"/>
  <c r="J7" i="9"/>
  <c r="J6" i="9"/>
  <c r="J5" i="9"/>
  <c r="J4" i="9"/>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X18" i="8"/>
  <c r="X17" i="8"/>
  <c r="X16" i="8"/>
  <c r="X15" i="8"/>
  <c r="X14" i="8"/>
  <c r="X13" i="8"/>
  <c r="X12" i="8"/>
  <c r="X11" i="8"/>
  <c r="X10" i="8"/>
  <c r="X9" i="8"/>
  <c r="X8" i="8"/>
  <c r="X7" i="8"/>
  <c r="X6" i="8"/>
  <c r="X5" i="8"/>
  <c r="X4" i="8"/>
</calcChain>
</file>

<file path=xl/sharedStrings.xml><?xml version="1.0" encoding="utf-8"?>
<sst xmlns="http://schemas.openxmlformats.org/spreadsheetml/2006/main" count="5489" uniqueCount="1354">
  <si>
    <t>Coverage Analysis: What Each Analysis Needs vs. What's In the Synthetic Data</t>
  </si>
  <si>
    <t>GREEN = fully covered by base tables | YELLOW = derived by analysis engine from base data | RED = needs additional raw data table or columns</t>
  </si>
  <si>
    <t>Analysis</t>
  </si>
  <si>
    <t>Name</t>
  </si>
  <si>
    <t>Status</t>
  </si>
  <si>
    <t>Coverage</t>
  </si>
  <si>
    <t>Source Tables Used</t>
  </si>
  <si>
    <t>Missing Fields (if any)</t>
  </si>
  <si>
    <t>Resolution</t>
  </si>
  <si>
    <t>01</t>
  </si>
  <si>
    <t>Pocket Price Waterfall</t>
  </si>
  <si>
    <t>FULL</t>
  </si>
  <si>
    <t>100%</t>
  </si>
  <si>
    <t>Transactions</t>
  </si>
  <si>
    <t>02</t>
  </si>
  <si>
    <t>Transaction Price Distribution</t>
  </si>
  <si>
    <t>Transactions, Customer, Product</t>
  </si>
  <si>
    <t>03</t>
  </si>
  <si>
    <t>Price-Volume-Mix Decomposition</t>
  </si>
  <si>
    <t>DERIVED</t>
  </si>
  <si>
    <t>Transactions (aggregated by period)</t>
  </si>
  <si>
    <t>revenue_period_1/2, qty_period_1/2, avg_price_period_1/2</t>
  </si>
  <si>
    <t>Analysis engine computes by splitting transactions into two date ranges. No additional raw data needed.</t>
  </si>
  <si>
    <t>04</t>
  </si>
  <si>
    <t>Customer Profitability</t>
  </si>
  <si>
    <t>Transactions, Customer, Cost-to-Serve</t>
  </si>
  <si>
    <t>05</t>
  </si>
  <si>
    <t>Win/Loss &amp; Discount Effectiveness</t>
  </si>
  <si>
    <t>Deals, Customer, Product</t>
  </si>
  <si>
    <t>06</t>
  </si>
  <si>
    <t>Price Elasticity by Segment</t>
  </si>
  <si>
    <t>Transactions, Product, Customer</t>
  </si>
  <si>
    <t>07</t>
  </si>
  <si>
    <t>Discount Governance</t>
  </si>
  <si>
    <t>Deals (partial)</t>
  </si>
  <si>
    <t>initial_discount_requested, final_discount_approved, approval_level, turnaround_days, override_flag</t>
  </si>
  <si>
    <t>Added approval workflow columns to Deals table.</t>
  </si>
  <si>
    <t>08</t>
  </si>
  <si>
    <t>Contract &amp; Terms Leakage</t>
  </si>
  <si>
    <t>Contracts, Transactions</t>
  </si>
  <si>
    <t>contracted_price, actual_transaction_price, contracted_payment_terms, actual_payment_days</t>
  </si>
  <si>
    <t>Added contracted_price and payment compliance fields to Contracts.</t>
  </si>
  <si>
    <t>09</t>
  </si>
  <si>
    <t>Competitive Benchmarking</t>
  </si>
  <si>
    <t>95%</t>
  </si>
  <si>
    <t>Competitive Intel, Product</t>
  </si>
  <si>
    <t>product_features, internal_realized_price</t>
  </si>
  <si>
    <t>Added feature_summary to Product dim. internal_realized_price derived from Transactions.</t>
  </si>
  <si>
    <t>10</t>
  </si>
  <si>
    <t>Price Realization Over Time</t>
  </si>
  <si>
    <t>Transactions (time series)</t>
  </si>
  <si>
    <t>11</t>
  </si>
  <si>
    <t>Product/SKU Profitability Pareto</t>
  </si>
  <si>
    <t>Transactions, Product</t>
  </si>
  <si>
    <t>cogs, avg_selling_price</t>
  </si>
  <si>
    <t>Both derived: COGS from Product dim, avg_selling_price aggregated from Transactions.</t>
  </si>
  <si>
    <t>12</t>
  </si>
  <si>
    <t>Segment WTP Mapping</t>
  </si>
  <si>
    <t>Transactions, Customer, Deals</t>
  </si>
  <si>
    <t>13</t>
  </si>
  <si>
    <t>Promotion Effectiveness &amp; ROI</t>
  </si>
  <si>
    <t>Promotions, Transactions</t>
  </si>
  <si>
    <t>promotional_price, units_sold_promo, pre/post period units</t>
  </si>
  <si>
    <t>Added promo pricing and pre/post volume fields to Promotions.</t>
  </si>
  <si>
    <t>14</t>
  </si>
  <si>
    <t>Pricing Architecture &amp; Packaging</t>
  </si>
  <si>
    <t>N/A (SaaS)</t>
  </si>
  <si>
    <t>0%</t>
  </si>
  <si>
    <t>Subscription/Plan table</t>
  </si>
  <si>
    <t>All SaaS fields</t>
  </si>
  <si>
    <t>Not applicable to B2B manufacturing client. Include Subscription table for SaaS clients.</t>
  </si>
  <si>
    <t>15</t>
  </si>
  <si>
    <t>Channel Price Consistency</t>
  </si>
  <si>
    <t>Transactions, Customer</t>
  </si>
  <si>
    <t>end_customer_price, channel_margin</t>
  </si>
  <si>
    <t>Added end_customer_price and channel_margin to Transactions.</t>
  </si>
  <si>
    <t>16</t>
  </si>
  <si>
    <t>New Product Pricing Performance</t>
  </si>
  <si>
    <t>Product, Transactions</t>
  </si>
  <si>
    <t>launch_date, launch_price, pricing_method_used</t>
  </si>
  <si>
    <t>Added launch_date and pricing_method to Product dim.</t>
  </si>
  <si>
    <t>17</t>
  </si>
  <si>
    <t>Geographic Price Variation</t>
  </si>
  <si>
    <t>90%</t>
  </si>
  <si>
    <t>exchange_rate</t>
  </si>
  <si>
    <t>Single-currency (USD) client — no FX needed. For multi-currency, add Reference/Lookup table.</t>
  </si>
  <si>
    <t>18</t>
  </si>
  <si>
    <t>Churn &amp; Retention Sensitivity</t>
  </si>
  <si>
    <t>Customer, Transactions</t>
  </si>
  <si>
    <t>churn_flag, churn_date, churn_reason, contract_price, price_change_at_renewal</t>
  </si>
  <si>
    <t>Added Churn Events table with all required fields.</t>
  </si>
  <si>
    <t>19</t>
  </si>
  <si>
    <t>Sales Rep Pricing Behavior</t>
  </si>
  <si>
    <t>Transactions, Sales Rep, Deals</t>
  </si>
  <si>
    <t>20</t>
  </si>
  <si>
    <t>Margin Uplift Opportunity Sizing</t>
  </si>
  <si>
    <t>OUTPUT</t>
  </si>
  <si>
    <t>All analysis outputs</t>
  </si>
  <si>
    <t>opportunity_id, source_analysis, uplift_estimate, etc.</t>
  </si>
  <si>
    <t>Added Opportunity Sizing output template table.</t>
  </si>
  <si>
    <t>SUMMARY</t>
  </si>
  <si>
    <t>Fully covered (base tables):</t>
  </si>
  <si>
    <t>16 of 20</t>
  </si>
  <si>
    <t>Derived by analysis engine:</t>
  </si>
  <si>
    <t>3 of 20</t>
  </si>
  <si>
    <t>Needs additional data/tables:</t>
  </si>
  <si>
    <t>0 of 20</t>
  </si>
  <si>
    <t>Not applicable (SaaS only):</t>
  </si>
  <si>
    <t>1 of 20</t>
  </si>
  <si>
    <t>FintastIQ Pricing Diagnostic — Field Dependency Map</t>
  </si>
  <si>
    <t>Each cell shows the priority of that field for the analysis (C=Critical, O=Optional, blank=not used)</t>
  </si>
  <si>
    <t>Transaction Price Distrib</t>
  </si>
  <si>
    <t>Price-Volume-Mix Decompos</t>
  </si>
  <si>
    <t>Customer Profitability Mi</t>
  </si>
  <si>
    <t>Win/Loss and Discount Eff</t>
  </si>
  <si>
    <t>Price Elasticity Estimati</t>
  </si>
  <si>
    <t>Discount Governance and A</t>
  </si>
  <si>
    <t>Contract and Terms Leakag</t>
  </si>
  <si>
    <t>Competitive Price Benchma</t>
  </si>
  <si>
    <t>Price Realization Over Ti</t>
  </si>
  <si>
    <t>Product/SKU Profitability</t>
  </si>
  <si>
    <t>Segment-Level Willingness</t>
  </si>
  <si>
    <t>Promotion Effectiveness a</t>
  </si>
  <si>
    <t xml:space="preserve">Pricing Architecture and </t>
  </si>
  <si>
    <t>New Product Pricing Perfo</t>
  </si>
  <si>
    <t>Geographic and Regional P</t>
  </si>
  <si>
    <t>Churn and Retention Price</t>
  </si>
  <si>
    <t>Sales Rep Pricing Behavio</t>
  </si>
  <si>
    <t>Total Margin Uplift Oppor</t>
  </si>
  <si>
    <t>Canonical Field</t>
  </si>
  <si>
    <t>Canonical Table</t>
  </si>
  <si>
    <t>Priority (Schema)</t>
  </si>
  <si>
    <t>Data Type</t>
  </si>
  <si>
    <t># Analyses Using</t>
  </si>
  <si>
    <t>Critical In</t>
  </si>
  <si>
    <t>Optional In</t>
  </si>
  <si>
    <t>transaction_id</t>
  </si>
  <si>
    <t>Transaction Fact</t>
  </si>
  <si>
    <t>Required</t>
  </si>
  <si>
    <t>STRING</t>
  </si>
  <si>
    <t>01, 02, 15, 17</t>
  </si>
  <si>
    <t>C</t>
  </si>
  <si>
    <t>transaction_date</t>
  </si>
  <si>
    <t>DATE</t>
  </si>
  <si>
    <t>02, 06, 10</t>
  </si>
  <si>
    <t>O</t>
  </si>
  <si>
    <t>customer_id</t>
  </si>
  <si>
    <t>01, 02, 04, 08, 12, 14, 18</t>
  </si>
  <si>
    <t>product_sku</t>
  </si>
  <si>
    <t>01, 02, 03, 05, 06, 09, 10, 11, 12, 13, 15, 16, 17, 19</t>
  </si>
  <si>
    <t>quantity</t>
  </si>
  <si>
    <t>NUMERIC</t>
  </si>
  <si>
    <t>02, 10</t>
  </si>
  <si>
    <t>list_price</t>
  </si>
  <si>
    <t>01, 05, 10, 17, 19</t>
  </si>
  <si>
    <t>invoice_price</t>
  </si>
  <si>
    <t>revenue</t>
  </si>
  <si>
    <t>cogs</t>
  </si>
  <si>
    <t>Recommended</t>
  </si>
  <si>
    <t>volume_discount</t>
  </si>
  <si>
    <t>prompt_pay_discount</t>
  </si>
  <si>
    <t>rebate_amount</t>
  </si>
  <si>
    <t>freight_absorption</t>
  </si>
  <si>
    <t>special_pricing_agreement</t>
  </si>
  <si>
    <t>co_op_marketing</t>
  </si>
  <si>
    <t>Nice-to-Have</t>
  </si>
  <si>
    <t>credit_memo_amount</t>
  </si>
  <si>
    <t>sales_channel</t>
  </si>
  <si>
    <t>sales_rep_id</t>
  </si>
  <si>
    <t>05, 07, 19</t>
  </si>
  <si>
    <t>01, 02</t>
  </si>
  <si>
    <t>geography</t>
  </si>
  <si>
    <t>currency</t>
  </si>
  <si>
    <t>promotional_flag</t>
  </si>
  <si>
    <t>BOOLEAN</t>
  </si>
  <si>
    <t>promotion_id</t>
  </si>
  <si>
    <t>contract_id</t>
  </si>
  <si>
    <t>Customer</t>
  </si>
  <si>
    <t>customer_name</t>
  </si>
  <si>
    <t>customer_segment</t>
  </si>
  <si>
    <t>02, 05, 06, 12, 19</t>
  </si>
  <si>
    <t>01, 03, 04, 07, 10, 14, 15, 17</t>
  </si>
  <si>
    <t>industry</t>
  </si>
  <si>
    <t>geography_primary</t>
  </si>
  <si>
    <t>customer_since_date</t>
  </si>
  <si>
    <t>annual_revenue_band</t>
  </si>
  <si>
    <t>account_owner_id</t>
  </si>
  <si>
    <t>payment_terms_contracted</t>
  </si>
  <si>
    <t>price_tier</t>
  </si>
  <si>
    <t>strategic_flag</t>
  </si>
  <si>
    <t>credit_score</t>
  </si>
  <si>
    <t>switching_cost_proxy</t>
  </si>
  <si>
    <t>Customer Cost-to-Serve</t>
  </si>
  <si>
    <t>period</t>
  </si>
  <si>
    <t>service_cost</t>
  </si>
  <si>
    <t>logistics_cost</t>
  </si>
  <si>
    <t>returns_credits_cost</t>
  </si>
  <si>
    <t>customization_cost</t>
  </si>
  <si>
    <t>payment_terms_cost</t>
  </si>
  <si>
    <t>sales_coverage_cost</t>
  </si>
  <si>
    <t>order_frequency</t>
  </si>
  <si>
    <t>INTEGER</t>
  </si>
  <si>
    <t>avg_order_size</t>
  </si>
  <si>
    <t>Product</t>
  </si>
  <si>
    <t>product_name</t>
  </si>
  <si>
    <t>product_category</t>
  </si>
  <si>
    <t>03, 11</t>
  </si>
  <si>
    <t>product_family</t>
  </si>
  <si>
    <t>current_list_price</t>
  </si>
  <si>
    <t>standard_cost</t>
  </si>
  <si>
    <t>launch_date</t>
  </si>
  <si>
    <t>product_status</t>
  </si>
  <si>
    <t>unit_of_measure</t>
  </si>
  <si>
    <t>value_metric</t>
  </si>
  <si>
    <t>competitor_equivalent</t>
  </si>
  <si>
    <t>cannibalization_group</t>
  </si>
  <si>
    <t>List Price History</t>
  </si>
  <si>
    <t>effective_date</t>
  </si>
  <si>
    <t>previous_list_price</t>
  </si>
  <si>
    <t>change_reason</t>
  </si>
  <si>
    <t>change_pct</t>
  </si>
  <si>
    <t>deal_id</t>
  </si>
  <si>
    <t>Deal / Opportunity</t>
  </si>
  <si>
    <t>deal_outcome</t>
  </si>
  <si>
    <t>05, 07, 12, 19</t>
  </si>
  <si>
    <t>deal_close_date</t>
  </si>
  <si>
    <t>list_price_quoted</t>
  </si>
  <si>
    <t>final_price</t>
  </si>
  <si>
    <t>discount_pct</t>
  </si>
  <si>
    <t>05, 19</t>
  </si>
  <si>
    <t>deal_value</t>
  </si>
  <si>
    <t>loss_reason</t>
  </si>
  <si>
    <t>competitor_cited</t>
  </si>
  <si>
    <t>05, 18</t>
  </si>
  <si>
    <t>sales_cycle_days</t>
  </si>
  <si>
    <t>approval_level</t>
  </si>
  <si>
    <t>initial_discount_requested</t>
  </si>
  <si>
    <t>override_flag</t>
  </si>
  <si>
    <t>number_of_approvals</t>
  </si>
  <si>
    <t>deal_stage_history</t>
  </si>
  <si>
    <t>JSON/TEXT</t>
  </si>
  <si>
    <t>Contract</t>
  </si>
  <si>
    <t>contract_start_date</t>
  </si>
  <si>
    <t>contract_end_date</t>
  </si>
  <si>
    <t>contracted_price</t>
  </si>
  <si>
    <t>contracted_payment_terms</t>
  </si>
  <si>
    <t>contracted_volume_commitment</t>
  </si>
  <si>
    <t>price_escalation_clause</t>
  </si>
  <si>
    <t>escalation_pct</t>
  </si>
  <si>
    <t>auto_renewal_flag</t>
  </si>
  <si>
    <t>sla_terms</t>
  </si>
  <si>
    <t>product_scope</t>
  </si>
  <si>
    <t>Sales Rep</t>
  </si>
  <si>
    <t>sales_rep_name</t>
  </si>
  <si>
    <t>manager_id</t>
  </si>
  <si>
    <t>territory</t>
  </si>
  <si>
    <t>segment_coverage</t>
  </si>
  <si>
    <t>tenure_months</t>
  </si>
  <si>
    <t>comp_plan_type</t>
  </si>
  <si>
    <t>quota</t>
  </si>
  <si>
    <t>start_date</t>
  </si>
  <si>
    <t>competitor_name</t>
  </si>
  <si>
    <t>Competitive Intelligence</t>
  </si>
  <si>
    <t>competitor_product</t>
  </si>
  <si>
    <t>own_product_sku</t>
  </si>
  <si>
    <t>competitor_price</t>
  </si>
  <si>
    <t>price_type</t>
  </si>
  <si>
    <t>observation_date</t>
  </si>
  <si>
    <t>source</t>
  </si>
  <si>
    <t>confidence_level</t>
  </si>
  <si>
    <t>market_segment</t>
  </si>
  <si>
    <t>feature_comparison_score</t>
  </si>
  <si>
    <t>Promotion</t>
  </si>
  <si>
    <t>promotion_type</t>
  </si>
  <si>
    <t>promotion_start_date</t>
  </si>
  <si>
    <t>promotion_end_date</t>
  </si>
  <si>
    <t>promotional_price</t>
  </si>
  <si>
    <t>regular_price</t>
  </si>
  <si>
    <t>promotional_cost</t>
  </si>
  <si>
    <t>target_segment</t>
  </si>
  <si>
    <t>promotion_channel</t>
  </si>
  <si>
    <t>Subscription / Plan (SaaS / Subscription Businesses)</t>
  </si>
  <si>
    <t>plan_tier</t>
  </si>
  <si>
    <t>plan_price</t>
  </si>
  <si>
    <t>billing_cycle</t>
  </si>
  <si>
    <t>plan_start_date</t>
  </si>
  <si>
    <t>feature_usage_matrix</t>
  </si>
  <si>
    <t>JSON/ARRAY</t>
  </si>
  <si>
    <t>usage_volume</t>
  </si>
  <si>
    <t>tier_limit</t>
  </si>
  <si>
    <t>add_on_purchases</t>
  </si>
  <si>
    <t>STRING/JSON</t>
  </si>
  <si>
    <t>churn_flag</t>
  </si>
  <si>
    <t>churn_date</t>
  </si>
  <si>
    <t>churn_reason</t>
  </si>
  <si>
    <t>price_change_at_renewal</t>
  </si>
  <si>
    <t>price_increase_pct</t>
  </si>
  <si>
    <t>nps_score</t>
  </si>
  <si>
    <t>usage_trend_3m</t>
  </si>
  <si>
    <t>upgrade_history</t>
  </si>
  <si>
    <t>inflation_index</t>
  </si>
  <si>
    <t>Reference / Lookups</t>
  </si>
  <si>
    <t>exchange_rates</t>
  </si>
  <si>
    <t>discount_authority_matrix</t>
  </si>
  <si>
    <t>TABLE</t>
  </si>
  <si>
    <t>cost_of_capital</t>
  </si>
  <si>
    <t>product_hierarchy</t>
  </si>
  <si>
    <t>customer_segment_rules</t>
  </si>
  <si>
    <t>seasonal_indices</t>
  </si>
  <si>
    <t>target_margins</t>
  </si>
  <si>
    <t>20 Standard Pricing Analyses — Summary</t>
  </si>
  <si>
    <t>Analysis #</t>
  </si>
  <si>
    <t>Analysis Name</t>
  </si>
  <si>
    <t>Purpose</t>
  </si>
  <si>
    <t># Critical Fields</t>
  </si>
  <si>
    <t># Optional Fields</t>
  </si>
  <si>
    <t>Key Calculations</t>
  </si>
  <si>
    <t>Quantify the gap between list price and actual realized (pocket) price
by decomposing every discount, rebate, allowance, and off-invoice
concession. This is typically the single highest-impact analysi</t>
  </si>
  <si>
    <t>Invoice Price; Net Price; Pocket Price; Pocket Margin</t>
  </si>
  <si>
    <t>Transaction Price Distribution (Price Band Analysis)</t>
  </si>
  <si>
    <t>Map the full distribution of actual transaction prices for equivalent
products across the customer base. Wide price bands for the same SKU to
comparable customers indicate inconsistent pricing executi</t>
  </si>
  <si>
    <t>Price Band Width; Coefficient of Variation; Floor Tightening Opportunity; Revenue at Risk</t>
  </si>
  <si>
    <t>Decompose revenue and margin changes between periods into three distinct
drivers: price effect (did we charge more or less?), volume effect (did
we sell more or less?), and mix effect (did the composi</t>
  </si>
  <si>
    <t>Price Effect; Volume Effect; Mix Effect; Alternative Mix Calc</t>
  </si>
  <si>
    <t>Customer Profitability Micro-Segmentation</t>
  </si>
  <si>
    <t>Rank all customers by fully loaded profitability (not just revenue) to
identify the 20–30% of customers that destroy margin and the high-value
customers who may be under-served. This analysis typicall</t>
  </si>
  <si>
    <t>Gross Margin; Cost-to-Serve; Net Customer Profit; Customer Profit Margin %</t>
  </si>
  <si>
    <t>Win/Loss and Discount Effectiveness</t>
  </si>
  <si>
    <t>Correlate deal outcomes (won vs. lost) with discount levels to determine
whether discounting is actually driving wins or merely eroding margin on
deals that would have been won at higher prices. The t</t>
  </si>
  <si>
    <t>Win Rate by Discount Band; Discount Elasticity of Winning; Unnecessary Discount Estimate; Discount by Rep Index</t>
  </si>
  <si>
    <t>Price Elasticity Estimation by Segment</t>
  </si>
  <si>
    <t>Estimate the price sensitivity of demand at the SKU, product family, or
segment level using historical transaction data. This transforms pricing
decisions from judgment-based to evidence-based, identi</t>
  </si>
  <si>
    <t>Point Elasticity; Arc Elasticity; Log-Log Regression; Revenue-Maximizing Price</t>
  </si>
  <si>
    <t>Discount Governance and Approval Effectiveness</t>
  </si>
  <si>
    <t>Evaluate whether the existing discount approval process actually
constrains discounting behavior or merely creates friction without
changing outcomes. This analysis maps the approval chain, measures
c</t>
  </si>
  <si>
    <t>Override Rate; Threshold Gaming Index; Governance Yield; Approval Friction Cost</t>
  </si>
  <si>
    <t>Contract and Terms Leakage Audit</t>
  </si>
  <si>
    <t>Identify margin leakage between negotiated contract terms and actual
execution. Payment terms drift, untracked service additions, SLA
overdelivery, and pricing term misapplication are common sources o</t>
  </si>
  <si>
    <t>Price Leakage; Payment Terms Drift Cost; Volume Shortfall; SLA Overdelivery Cost</t>
  </si>
  <si>
    <t>Competitive Price Benchmarking</t>
  </si>
  <si>
    <t>Systematically compare realized prices against competitive alternatives
on a like-for-like basis. This anchors whether the internal narrative of
being underpriced or overpriced is empirically supporte</t>
  </si>
  <si>
    <t>Price Index; Value-Adjusted Price Index; Price Premium/Discount %; Market Price Position</t>
  </si>
  <si>
    <t>Price Realization Over Time (Trend Analysis)</t>
  </si>
  <si>
    <t>Track how average realized prices and margins evolve over time, adjusted
for mix, to detect secular trends in pricing power. This reveals whether
the business is systematically gaining or losing prici</t>
  </si>
  <si>
    <t>Average Realized Price (time series); Price Realization Rate; Real Price Trend; Price Increase Stickiness</t>
  </si>
  <si>
    <t>Rank all products or SKUs by profitability contribution to identify the
vital few that drive the business and the long tail that may be diluting
margins, complicating operations, and consuming disprop</t>
  </si>
  <si>
    <t>Gross Margin per SKU; Contribution Margin %; Cumulative Profit Contribution; Pareto Classification</t>
  </si>
  <si>
    <t>Segment-Level Willingness-to-Pay Mapping</t>
  </si>
  <si>
    <t>Estimate willingness-to-pay by customer segment using revealed
preference data (what customers actually paid) rather than stated
preference surveys alone. This identifies segments where the company is</t>
  </si>
  <si>
    <t>Segment Average Realized Price; Segment Price Ceiling; Segment Price Floor; WTP Gap</t>
  </si>
  <si>
    <t>Promotion Effectiveness and ROI</t>
  </si>
  <si>
    <t>Measure the true return on promotional pricing by decomposing
promotional volume into genuine incremental sales, forward buying
(pull-forward), cannibalization (substitution from full-price items),
an</t>
  </si>
  <si>
    <t>Baseline Volume; Gross Lift; Pull-Forward Adjustment; Cannibalization</t>
  </si>
  <si>
    <t>Pricing Architecture and Packaging Analysis</t>
  </si>
  <si>
    <t>Evaluate the current product/service packaging structure (tiers,
bundles, add-ons) against actual customer usage patterns and buying
behavior. This analysis identifies whether the current packaging
ca</t>
  </si>
  <si>
    <t>Tier Utilization Distribution; Feature Value Score; Undermonetized Feature; Tier Boundary Misalignment</t>
  </si>
  <si>
    <t>Channel Price Consistency and Conflict</t>
  </si>
  <si>
    <t>Assess whether pricing is consistent across sales channels (direct,
distributor, online, partner) and identify conflict points where
channel-specific pricing strategies create arbitrage opportunities,</t>
  </si>
  <si>
    <t>Cross-Channel Price Variance; Channel Price Index; Arbitrage Risk Score; Channel Margin Stack</t>
  </si>
  <si>
    <t>Evaluate how effectively new products are priced at launch and how
pricing evolves during the critical first 12–18 months. New product
pricing is often set by cost-plus or competitive anchoring rather</t>
  </si>
  <si>
    <t>Price Erosion Rate; Adoption Velocity Index; Launch Premium Capture; Discount Creep</t>
  </si>
  <si>
    <t>Geographic and Regional Price Variation</t>
  </si>
  <si>
    <t>Analyze price variation across geographies to distinguish intentional,
strategy-driven regional pricing from unintentional inconsistency. This
identifies whether regional price differences reflect gen</t>
  </si>
  <si>
    <t>Normalized Price; Regional Price Index; PPP-Adjusted Price; Cost-Justified Variance</t>
  </si>
  <si>
    <t>Churn and Retention Price Sensitivity</t>
  </si>
  <si>
    <t>Determine the role of pricing in customer churn and retention,
separating price-driven churn from service, product, or fit-driven
churn. This analysis quantifies how much churn is truly price-sensitiv</t>
  </si>
  <si>
    <t>Price-Cited Churn Rate; True Price-Sensitive Churn; Churn Rate by Price Increase Band; Price Increase Tolerance Threshold</t>
  </si>
  <si>
    <t>Sales Rep Pricing Behavior Analysis</t>
  </si>
  <si>
    <t xml:space="preserve">Profile individual sales rep pricing behavior to identify patterns of
over-discounting, under-pricing specific segments, or inconsistent
application of pricing guidelines. This is not about punishing </t>
  </si>
  <si>
    <t>Rep Average Discount; Rep Discount Index; Rep Win Rate at List; Rep Margin Contribution</t>
  </si>
  <si>
    <t>Total Margin Uplift Opportunity Sizing</t>
  </si>
  <si>
    <t xml:space="preserve">Synthesize findings from all individual analyses into a consolidated,
de-duplicated margin uplift estimate with implementation prioritization.
This is the capstone analysis that translates analytical </t>
  </si>
  <si>
    <t>De-Duplicated Uplift; Risk-Adjusted Uplift; Quick Win Pool; Implementation Priority Score</t>
  </si>
  <si>
    <t>Transaction Fact Table — Synthetic Data (200 rows)</t>
  </si>
  <si>
    <t>Fictional client: 'Apex Safety Products' — B2B industrial safety equipment manufacturer</t>
  </si>
  <si>
    <t>Transaction Id</t>
  </si>
  <si>
    <t>Transaction Date</t>
  </si>
  <si>
    <t>Customer Id</t>
  </si>
  <si>
    <t>Product Sku</t>
  </si>
  <si>
    <t>Sales Rep Id</t>
  </si>
  <si>
    <t>Quantity</t>
  </si>
  <si>
    <t>Unit Of Measure</t>
  </si>
  <si>
    <t>List Price</t>
  </si>
  <si>
    <t>Invoice Price</t>
  </si>
  <si>
    <t>Volume Discount</t>
  </si>
  <si>
    <t>Prompt Pay Discount</t>
  </si>
  <si>
    <t>Rebate Amount</t>
  </si>
  <si>
    <t>Freight Absorption</t>
  </si>
  <si>
    <t>Special Pricing Agreement</t>
  </si>
  <si>
    <t>Co Op Marketing</t>
  </si>
  <si>
    <t>Credit Memo Adjustments</t>
  </si>
  <si>
    <t>Net Price</t>
  </si>
  <si>
    <t>Pocket Price</t>
  </si>
  <si>
    <t>Cost Of Goods Sold</t>
  </si>
  <si>
    <t>Revenue</t>
  </si>
  <si>
    <t>Gross Margin</t>
  </si>
  <si>
    <t>Customer Segment</t>
  </si>
  <si>
    <t>Sales Channel</t>
  </si>
  <si>
    <t>Geography</t>
  </si>
  <si>
    <t>Contract Type</t>
  </si>
  <si>
    <t>Contract Id</t>
  </si>
  <si>
    <t>Promotion Id</t>
  </si>
  <si>
    <t>Currency</t>
  </si>
  <si>
    <t>Payment Terms</t>
  </si>
  <si>
    <t>End Customer Price</t>
  </si>
  <si>
    <t>Channel Margin</t>
  </si>
  <si>
    <t>TXN-00001</t>
  </si>
  <si>
    <t>2025-10-16</t>
  </si>
  <si>
    <t>CUST-002</t>
  </si>
  <si>
    <t>SKU-1001</t>
  </si>
  <si>
    <t>REP-03</t>
  </si>
  <si>
    <t>EA</t>
  </si>
  <si>
    <t>Mid-Market</t>
  </si>
  <si>
    <t>Direct</t>
  </si>
  <si>
    <t>West</t>
  </si>
  <si>
    <t>Annual Contract</t>
  </si>
  <si>
    <t>CTR-009</t>
  </si>
  <si>
    <t>USD</t>
  </si>
  <si>
    <t>Net 45</t>
  </si>
  <si>
    <t>TXN-00002</t>
  </si>
  <si>
    <t>2025-10-27</t>
  </si>
  <si>
    <t>CUST-009</t>
  </si>
  <si>
    <t>SKU-1007</t>
  </si>
  <si>
    <t>REP-02</t>
  </si>
  <si>
    <t>Channel</t>
  </si>
  <si>
    <t>South</t>
  </si>
  <si>
    <t>Spot</t>
  </si>
  <si>
    <t>Net 60</t>
  </si>
  <si>
    <t>TXN-00003</t>
  </si>
  <si>
    <t>2024-12-18</t>
  </si>
  <si>
    <t>CUST-010</t>
  </si>
  <si>
    <t>SKU-1005</t>
  </si>
  <si>
    <t>REP-01</t>
  </si>
  <si>
    <t>PKG</t>
  </si>
  <si>
    <t>SMB</t>
  </si>
  <si>
    <t>Distributor</t>
  </si>
  <si>
    <t>CTR-011</t>
  </si>
  <si>
    <t>PROMO-001</t>
  </si>
  <si>
    <t>TXN-00004</t>
  </si>
  <si>
    <t>2024-10-23</t>
  </si>
  <si>
    <t>SKU-1004</t>
  </si>
  <si>
    <t>TXN-00005</t>
  </si>
  <si>
    <t>2024-06-16</t>
  </si>
  <si>
    <t>CUST-008</t>
  </si>
  <si>
    <t>Enterprise</t>
  </si>
  <si>
    <t>Northeast</t>
  </si>
  <si>
    <t>CTR-004</t>
  </si>
  <si>
    <t>PROMO-003</t>
  </si>
  <si>
    <t>2/10 Net 30</t>
  </si>
  <si>
    <t>TXN-00006</t>
  </si>
  <si>
    <t>2025-02-09</t>
  </si>
  <si>
    <t>SKU-1003</t>
  </si>
  <si>
    <t>TXN-00007</t>
  </si>
  <si>
    <t>2025-10-04</t>
  </si>
  <si>
    <t>CUST-003</t>
  </si>
  <si>
    <t>REP-05</t>
  </si>
  <si>
    <t>Midwest</t>
  </si>
  <si>
    <t>CTR-002</t>
  </si>
  <si>
    <t>TXN-00008</t>
  </si>
  <si>
    <t>2025-03-21</t>
  </si>
  <si>
    <t>SKU-1008</t>
  </si>
  <si>
    <t>CTR-006</t>
  </si>
  <si>
    <t>TXN-00009</t>
  </si>
  <si>
    <t>2025-07-06</t>
  </si>
  <si>
    <t>TXN-00010</t>
  </si>
  <si>
    <t>2024-03-11</t>
  </si>
  <si>
    <t>PROMO-004</t>
  </si>
  <si>
    <t>TXN-00011</t>
  </si>
  <si>
    <t>2025-03-24</t>
  </si>
  <si>
    <t>CTR-001</t>
  </si>
  <si>
    <t>TXN-00012</t>
  </si>
  <si>
    <t>2024-03-13</t>
  </si>
  <si>
    <t>TXN-00013</t>
  </si>
  <si>
    <t>2024-12-28</t>
  </si>
  <si>
    <t>CUST-007</t>
  </si>
  <si>
    <t>REP-04</t>
  </si>
  <si>
    <t>CTR-003</t>
  </si>
  <si>
    <t>TXN-00014</t>
  </si>
  <si>
    <t>2024-07-06</t>
  </si>
  <si>
    <t>CUST-005</t>
  </si>
  <si>
    <t>TXN-00015</t>
  </si>
  <si>
    <t>2024-03-01</t>
  </si>
  <si>
    <t>Net 30</t>
  </si>
  <si>
    <t>TXN-00016</t>
  </si>
  <si>
    <t>2024-11-17</t>
  </si>
  <si>
    <t>CUST-001</t>
  </si>
  <si>
    <t>CTR-015</t>
  </si>
  <si>
    <t>TXN-00017</t>
  </si>
  <si>
    <t>2025-08-15</t>
  </si>
  <si>
    <t>Framework</t>
  </si>
  <si>
    <t>TXN-00018</t>
  </si>
  <si>
    <t>2024-01-10</t>
  </si>
  <si>
    <t>SKU-1010</t>
  </si>
  <si>
    <t>PROMO-005</t>
  </si>
  <si>
    <t>TXN-00019</t>
  </si>
  <si>
    <t>2025-11-10</t>
  </si>
  <si>
    <t>CTR-005</t>
  </si>
  <si>
    <t>TXN-00020</t>
  </si>
  <si>
    <t>2024-04-04</t>
  </si>
  <si>
    <t>CTR-014</t>
  </si>
  <si>
    <t>TXN-00021</t>
  </si>
  <si>
    <t>2025-08-19</t>
  </si>
  <si>
    <t>CTR-010</t>
  </si>
  <si>
    <t>TXN-00022</t>
  </si>
  <si>
    <t>2024-08-30</t>
  </si>
  <si>
    <t>TXN-00023</t>
  </si>
  <si>
    <t>2024-07-23</t>
  </si>
  <si>
    <t>SKU-1006</t>
  </si>
  <si>
    <t>TXN-00024</t>
  </si>
  <si>
    <t>2024-01-29</t>
  </si>
  <si>
    <t>PROMO-002</t>
  </si>
  <si>
    <t>TXN-00025</t>
  </si>
  <si>
    <t>2024-02-15</t>
  </si>
  <si>
    <t>TXN-00026</t>
  </si>
  <si>
    <t>2025-06-03</t>
  </si>
  <si>
    <t>TXN-00027</t>
  </si>
  <si>
    <t>2025-03-16</t>
  </si>
  <si>
    <t>TXN-00028</t>
  </si>
  <si>
    <t>2025-11-19</t>
  </si>
  <si>
    <t>TXN-00029</t>
  </si>
  <si>
    <t>2024-05-31</t>
  </si>
  <si>
    <t>SKU-1002</t>
  </si>
  <si>
    <t>CTR-013</t>
  </si>
  <si>
    <t>TXN-00030</t>
  </si>
  <si>
    <t>2025-09-19</t>
  </si>
  <si>
    <t>TXN-00031</t>
  </si>
  <si>
    <t>2025-03-26</t>
  </si>
  <si>
    <t>TXN-00032</t>
  </si>
  <si>
    <t>2025-03-01</t>
  </si>
  <si>
    <t>TXN-00033</t>
  </si>
  <si>
    <t>2025-05-14</t>
  </si>
  <si>
    <t>CUST-004</t>
  </si>
  <si>
    <t>TXN-00034</t>
  </si>
  <si>
    <t>2024-03-26</t>
  </si>
  <si>
    <t>TXN-00035</t>
  </si>
  <si>
    <t>2024-12-24</t>
  </si>
  <si>
    <t>TXN-00036</t>
  </si>
  <si>
    <t>TXN-00037</t>
  </si>
  <si>
    <t>2025-08-02</t>
  </si>
  <si>
    <t>TXN-00038</t>
  </si>
  <si>
    <t>2025-12-25</t>
  </si>
  <si>
    <t>TXN-00039</t>
  </si>
  <si>
    <t>2024-09-06</t>
  </si>
  <si>
    <t>TXN-00040</t>
  </si>
  <si>
    <t>2024-03-28</t>
  </si>
  <si>
    <t>TXN-00041</t>
  </si>
  <si>
    <t>2025-07-20</t>
  </si>
  <si>
    <t>CTR-012</t>
  </si>
  <si>
    <t>TXN-00042</t>
  </si>
  <si>
    <t>2024-10-10</t>
  </si>
  <si>
    <t>SKU-1009</t>
  </si>
  <si>
    <t>TXN-00043</t>
  </si>
  <si>
    <t>2025-10-15</t>
  </si>
  <si>
    <t>TXN-00044</t>
  </si>
  <si>
    <t>2024-06-01</t>
  </si>
  <si>
    <t>TXN-00045</t>
  </si>
  <si>
    <t>2025-09-16</t>
  </si>
  <si>
    <t>TXN-00046</t>
  </si>
  <si>
    <t>2025-12-20</t>
  </si>
  <si>
    <t>TXN-00047</t>
  </si>
  <si>
    <t>2025-09-01</t>
  </si>
  <si>
    <t>TXN-00048</t>
  </si>
  <si>
    <t>2024-01-27</t>
  </si>
  <si>
    <t>TXN-00049</t>
  </si>
  <si>
    <t>2025-10-12</t>
  </si>
  <si>
    <t>TXN-00050</t>
  </si>
  <si>
    <t>2025-04-10</t>
  </si>
  <si>
    <t>TXN-00051</t>
  </si>
  <si>
    <t>2024-07-27</t>
  </si>
  <si>
    <t>TXN-00052</t>
  </si>
  <si>
    <t>2025-04-17</t>
  </si>
  <si>
    <t>TXN-00053</t>
  </si>
  <si>
    <t>2024-03-12</t>
  </si>
  <si>
    <t>TXN-00054</t>
  </si>
  <si>
    <t>2025-04-11</t>
  </si>
  <si>
    <t>CUST-006</t>
  </si>
  <si>
    <t>TXN-00055</t>
  </si>
  <si>
    <t>2025-05-29</t>
  </si>
  <si>
    <t>TXN-00056</t>
  </si>
  <si>
    <t>TXN-00057</t>
  </si>
  <si>
    <t>2025-03-30</t>
  </si>
  <si>
    <t>TXN-00058</t>
  </si>
  <si>
    <t>2025-09-26</t>
  </si>
  <si>
    <t>TXN-00059</t>
  </si>
  <si>
    <t>2025-08-24</t>
  </si>
  <si>
    <t>TXN-00060</t>
  </si>
  <si>
    <t>2025-09-12</t>
  </si>
  <si>
    <t>TXN-00061</t>
  </si>
  <si>
    <t>2025-03-27</t>
  </si>
  <si>
    <t>TXN-00062</t>
  </si>
  <si>
    <t>2024-10-29</t>
  </si>
  <si>
    <t>TXN-00063</t>
  </si>
  <si>
    <t>TXN-00064</t>
  </si>
  <si>
    <t>2025-12-18</t>
  </si>
  <si>
    <t>TXN-00065</t>
  </si>
  <si>
    <t>TXN-00066</t>
  </si>
  <si>
    <t>2024-03-03</t>
  </si>
  <si>
    <t>TXN-00067</t>
  </si>
  <si>
    <t>2025-08-23</t>
  </si>
  <si>
    <t>TXN-00068</t>
  </si>
  <si>
    <t>2024-08-31</t>
  </si>
  <si>
    <t>TXN-00069</t>
  </si>
  <si>
    <t>2025-09-21</t>
  </si>
  <si>
    <t>TXN-00070</t>
  </si>
  <si>
    <t>2025-01-25</t>
  </si>
  <si>
    <t>TXN-00071</t>
  </si>
  <si>
    <t>2025-02-12</t>
  </si>
  <si>
    <t>TXN-00072</t>
  </si>
  <si>
    <t>2025-11-17</t>
  </si>
  <si>
    <t>TXN-00073</t>
  </si>
  <si>
    <t>TXN-00074</t>
  </si>
  <si>
    <t>2024-12-13</t>
  </si>
  <si>
    <t>TXN-00075</t>
  </si>
  <si>
    <t>2024-11-15</t>
  </si>
  <si>
    <t>TXN-00076</t>
  </si>
  <si>
    <t>2025-06-08</t>
  </si>
  <si>
    <t>TXN-00077</t>
  </si>
  <si>
    <t>TXN-00078</t>
  </si>
  <si>
    <t>2024-11-16</t>
  </si>
  <si>
    <t>TXN-00079</t>
  </si>
  <si>
    <t>TXN-00080</t>
  </si>
  <si>
    <t>2024-08-29</t>
  </si>
  <si>
    <t>TXN-00081</t>
  </si>
  <si>
    <t>TXN-00082</t>
  </si>
  <si>
    <t>TXN-00083</t>
  </si>
  <si>
    <t>2024-04-15</t>
  </si>
  <si>
    <t>TXN-00084</t>
  </si>
  <si>
    <t>2025-10-08</t>
  </si>
  <si>
    <t>TXN-00085</t>
  </si>
  <si>
    <t>2024-05-12</t>
  </si>
  <si>
    <t>TXN-00086</t>
  </si>
  <si>
    <t>2025-01-06</t>
  </si>
  <si>
    <t>TXN-00087</t>
  </si>
  <si>
    <t>2025-09-03</t>
  </si>
  <si>
    <t>TXN-00088</t>
  </si>
  <si>
    <t>2024-08-27</t>
  </si>
  <si>
    <t>TXN-00089</t>
  </si>
  <si>
    <t>2024-09-13</t>
  </si>
  <si>
    <t>CTR-007</t>
  </si>
  <si>
    <t>TXN-00090</t>
  </si>
  <si>
    <t>2024-08-15</t>
  </si>
  <si>
    <t>TXN-00091</t>
  </si>
  <si>
    <t>2025-12-13</t>
  </si>
  <si>
    <t>TXN-00092</t>
  </si>
  <si>
    <t>TXN-00093</t>
  </si>
  <si>
    <t>2025-06-20</t>
  </si>
  <si>
    <t>TXN-00094</t>
  </si>
  <si>
    <t>2024-12-19</t>
  </si>
  <si>
    <t>TXN-00095</t>
  </si>
  <si>
    <t>2024-02-07</t>
  </si>
  <si>
    <t>TXN-00096</t>
  </si>
  <si>
    <t>2025-11-02</t>
  </si>
  <si>
    <t>TXN-00097</t>
  </si>
  <si>
    <t>2025-09-08</t>
  </si>
  <si>
    <t>TXN-00098</t>
  </si>
  <si>
    <t>TXN-00099</t>
  </si>
  <si>
    <t>2025-08-03</t>
  </si>
  <si>
    <t>TXN-00100</t>
  </si>
  <si>
    <t>2024-07-09</t>
  </si>
  <si>
    <t>TXN-00101</t>
  </si>
  <si>
    <t>2024-03-30</t>
  </si>
  <si>
    <t>TXN-00102</t>
  </si>
  <si>
    <t>TXN-00103</t>
  </si>
  <si>
    <t>2024-11-20</t>
  </si>
  <si>
    <t>TXN-00104</t>
  </si>
  <si>
    <t>2024-11-26</t>
  </si>
  <si>
    <t>TXN-00105</t>
  </si>
  <si>
    <t>2024-06-24</t>
  </si>
  <si>
    <t>TXN-00106</t>
  </si>
  <si>
    <t>2025-05-24</t>
  </si>
  <si>
    <t>TXN-00107</t>
  </si>
  <si>
    <t>TXN-00108</t>
  </si>
  <si>
    <t>2024-06-12</t>
  </si>
  <si>
    <t>TXN-00109</t>
  </si>
  <si>
    <t>TXN-00110</t>
  </si>
  <si>
    <t>2025-01-30</t>
  </si>
  <si>
    <t>TXN-00111</t>
  </si>
  <si>
    <t>2025-05-27</t>
  </si>
  <si>
    <t>TXN-00112</t>
  </si>
  <si>
    <t>TXN-00113</t>
  </si>
  <si>
    <t>TXN-00114</t>
  </si>
  <si>
    <t>TXN-00115</t>
  </si>
  <si>
    <t>2024-06-26</t>
  </si>
  <si>
    <t>TXN-00116</t>
  </si>
  <si>
    <t>2025-12-22</t>
  </si>
  <si>
    <t>TXN-00117</t>
  </si>
  <si>
    <t>2024-02-13</t>
  </si>
  <si>
    <t>TXN-00118</t>
  </si>
  <si>
    <t>TXN-00119</t>
  </si>
  <si>
    <t>2024-10-21</t>
  </si>
  <si>
    <t>TXN-00120</t>
  </si>
  <si>
    <t>2024-02-08</t>
  </si>
  <si>
    <t>TXN-00121</t>
  </si>
  <si>
    <t>2025-10-25</t>
  </si>
  <si>
    <t>TXN-00122</t>
  </si>
  <si>
    <t>2024-07-08</t>
  </si>
  <si>
    <t>TXN-00123</t>
  </si>
  <si>
    <t>2024-03-04</t>
  </si>
  <si>
    <t>TXN-00124</t>
  </si>
  <si>
    <t>TXN-00125</t>
  </si>
  <si>
    <t>CTR-008</t>
  </si>
  <si>
    <t>TXN-00126</t>
  </si>
  <si>
    <t>2025-07-26</t>
  </si>
  <si>
    <t>TXN-00127</t>
  </si>
  <si>
    <t>2024-10-20</t>
  </si>
  <si>
    <t>TXN-00128</t>
  </si>
  <si>
    <t>2024-05-01</t>
  </si>
  <si>
    <t>TXN-00129</t>
  </si>
  <si>
    <t>2024-10-09</t>
  </si>
  <si>
    <t>TXN-00130</t>
  </si>
  <si>
    <t>2025-02-15</t>
  </si>
  <si>
    <t>TXN-00131</t>
  </si>
  <si>
    <t>2025-11-07</t>
  </si>
  <si>
    <t>TXN-00132</t>
  </si>
  <si>
    <t>2025-02-22</t>
  </si>
  <si>
    <t>TXN-00133</t>
  </si>
  <si>
    <t>2024-12-04</t>
  </si>
  <si>
    <t>TXN-00134</t>
  </si>
  <si>
    <t>2024-11-06</t>
  </si>
  <si>
    <t>TXN-00135</t>
  </si>
  <si>
    <t>2024-11-11</t>
  </si>
  <si>
    <t>TXN-00136</t>
  </si>
  <si>
    <t>TXN-00137</t>
  </si>
  <si>
    <t>2024-06-22</t>
  </si>
  <si>
    <t>TXN-00138</t>
  </si>
  <si>
    <t>2024-03-10</t>
  </si>
  <si>
    <t>TXN-00139</t>
  </si>
  <si>
    <t>2025-07-02</t>
  </si>
  <si>
    <t>TXN-00140</t>
  </si>
  <si>
    <t>2024-03-21</t>
  </si>
  <si>
    <t>TXN-00141</t>
  </si>
  <si>
    <t>2025-10-14</t>
  </si>
  <si>
    <t>TXN-00142</t>
  </si>
  <si>
    <t>2025-12-01</t>
  </si>
  <si>
    <t>TXN-00143</t>
  </si>
  <si>
    <t>2025-11-24</t>
  </si>
  <si>
    <t>TXN-00144</t>
  </si>
  <si>
    <t>2024-11-30</t>
  </si>
  <si>
    <t>TXN-00145</t>
  </si>
  <si>
    <t>2024-06-06</t>
  </si>
  <si>
    <t>TXN-00146</t>
  </si>
  <si>
    <t>TXN-00147</t>
  </si>
  <si>
    <t>TXN-00148</t>
  </si>
  <si>
    <t>2025-04-13</t>
  </si>
  <si>
    <t>TXN-00149</t>
  </si>
  <si>
    <t>2025-05-05</t>
  </si>
  <si>
    <t>TXN-00150</t>
  </si>
  <si>
    <t>2025-11-29</t>
  </si>
  <si>
    <t>TXN-00151</t>
  </si>
  <si>
    <t>2025-03-09</t>
  </si>
  <si>
    <t>TXN-00152</t>
  </si>
  <si>
    <t>2025-11-04</t>
  </si>
  <si>
    <t>TXN-00153</t>
  </si>
  <si>
    <t>2025-04-01</t>
  </si>
  <si>
    <t>TXN-00154</t>
  </si>
  <si>
    <t>2025-06-17</t>
  </si>
  <si>
    <t>TXN-00155</t>
  </si>
  <si>
    <t>2025-07-19</t>
  </si>
  <si>
    <t>TXN-00156</t>
  </si>
  <si>
    <t>2024-01-05</t>
  </si>
  <si>
    <t>TXN-00157</t>
  </si>
  <si>
    <t>TXN-00158</t>
  </si>
  <si>
    <t>TXN-00159</t>
  </si>
  <si>
    <t>2024-11-18</t>
  </si>
  <si>
    <t>TXN-00160</t>
  </si>
  <si>
    <t>2024-06-20</t>
  </si>
  <si>
    <t>TXN-00161</t>
  </si>
  <si>
    <t>2025-07-10</t>
  </si>
  <si>
    <t>TXN-00162</t>
  </si>
  <si>
    <t>TXN-00163</t>
  </si>
  <si>
    <t>2024-11-27</t>
  </si>
  <si>
    <t>TXN-00164</t>
  </si>
  <si>
    <t>2025-12-29</t>
  </si>
  <si>
    <t>TXN-00165</t>
  </si>
  <si>
    <t>TXN-00166</t>
  </si>
  <si>
    <t>2024-12-11</t>
  </si>
  <si>
    <t>TXN-00167</t>
  </si>
  <si>
    <t>2024-07-26</t>
  </si>
  <si>
    <t>TXN-00168</t>
  </si>
  <si>
    <t>2025-12-21</t>
  </si>
  <si>
    <t>TXN-00169</t>
  </si>
  <si>
    <t>2024-04-01</t>
  </si>
  <si>
    <t>TXN-00170</t>
  </si>
  <si>
    <t>2025-10-05</t>
  </si>
  <si>
    <t>TXN-00171</t>
  </si>
  <si>
    <t>2024-09-11</t>
  </si>
  <si>
    <t>TXN-00172</t>
  </si>
  <si>
    <t>2024-09-02</t>
  </si>
  <si>
    <t>TXN-00173</t>
  </si>
  <si>
    <t>2024-01-15</t>
  </si>
  <si>
    <t>TXN-00174</t>
  </si>
  <si>
    <t>2024-11-13</t>
  </si>
  <si>
    <t>TXN-00175</t>
  </si>
  <si>
    <t>2025-04-09</t>
  </si>
  <si>
    <t>TXN-00176</t>
  </si>
  <si>
    <t>2024-06-19</t>
  </si>
  <si>
    <t>TXN-00177</t>
  </si>
  <si>
    <t>2025-05-26</t>
  </si>
  <si>
    <t>TXN-00178</t>
  </si>
  <si>
    <t>2024-07-02</t>
  </si>
  <si>
    <t>TXN-00179</t>
  </si>
  <si>
    <t>2025-02-14</t>
  </si>
  <si>
    <t>TXN-00180</t>
  </si>
  <si>
    <t>2024-07-19</t>
  </si>
  <si>
    <t>TXN-00181</t>
  </si>
  <si>
    <t>2024-07-29</t>
  </si>
  <si>
    <t>TXN-00182</t>
  </si>
  <si>
    <t>2025-08-17</t>
  </si>
  <si>
    <t>TXN-00183</t>
  </si>
  <si>
    <t>2025-04-08</t>
  </si>
  <si>
    <t>TXN-00184</t>
  </si>
  <si>
    <t>2025-04-19</t>
  </si>
  <si>
    <t>TXN-00185</t>
  </si>
  <si>
    <t>2024-06-27</t>
  </si>
  <si>
    <t>TXN-00186</t>
  </si>
  <si>
    <t>TXN-00187</t>
  </si>
  <si>
    <t>2025-05-23</t>
  </si>
  <si>
    <t>TXN-00188</t>
  </si>
  <si>
    <t>2025-01-27</t>
  </si>
  <si>
    <t>TXN-00189</t>
  </si>
  <si>
    <t>2025-02-01</t>
  </si>
  <si>
    <t>TXN-00190</t>
  </si>
  <si>
    <t>2024-09-29</t>
  </si>
  <si>
    <t>TXN-00191</t>
  </si>
  <si>
    <t>2025-08-04</t>
  </si>
  <si>
    <t>TXN-00192</t>
  </si>
  <si>
    <t>2024-12-05</t>
  </si>
  <si>
    <t>TXN-00193</t>
  </si>
  <si>
    <t>TXN-00194</t>
  </si>
  <si>
    <t>2025-01-22</t>
  </si>
  <si>
    <t>TXN-00195</t>
  </si>
  <si>
    <t>TXN-00196</t>
  </si>
  <si>
    <t>2024-09-19</t>
  </si>
  <si>
    <t>TXN-00197</t>
  </si>
  <si>
    <t>2024-06-15</t>
  </si>
  <si>
    <t>TXN-00198</t>
  </si>
  <si>
    <t>TXN-00199</t>
  </si>
  <si>
    <t>TXN-00200</t>
  </si>
  <si>
    <t>Customer Dimension — 10 Synthetic Customers</t>
  </si>
  <si>
    <t>Customer ID</t>
  </si>
  <si>
    <t>Customer Name</t>
  </si>
  <si>
    <t>Segment</t>
  </si>
  <si>
    <t>Region</t>
  </si>
  <si>
    <t>Primary Channel</t>
  </si>
  <si>
    <t>Industry</t>
  </si>
  <si>
    <t>Tenure (Years)</t>
  </si>
  <si>
    <t>Midwest Industrial Supply</t>
  </si>
  <si>
    <t>Manufacturing</t>
  </si>
  <si>
    <t>Pacific Coast Fasteners</t>
  </si>
  <si>
    <t>Distribution</t>
  </si>
  <si>
    <t>Great Lakes Safety Corp</t>
  </si>
  <si>
    <t>Southern Tool &amp; Die</t>
  </si>
  <si>
    <t>Northeast PPE Distributors</t>
  </si>
  <si>
    <t>Rocky Mountain Equipment</t>
  </si>
  <si>
    <t>Construction</t>
  </si>
  <si>
    <t>Heartland Manufacturing</t>
  </si>
  <si>
    <t>Atlantic Safety Solutions</t>
  </si>
  <si>
    <t>Healthcare</t>
  </si>
  <si>
    <t>Gulf Coast Industries</t>
  </si>
  <si>
    <t>Oil &amp; Gas</t>
  </si>
  <si>
    <t>PNW Protective Gear</t>
  </si>
  <si>
    <t>Forestry</t>
  </si>
  <si>
    <t>Product Dimension — 10 Synthetic Products</t>
  </si>
  <si>
    <t>Product SKU</t>
  </si>
  <si>
    <t>Product Name</t>
  </si>
  <si>
    <t>Description</t>
  </si>
  <si>
    <t>Category</t>
  </si>
  <si>
    <t>Sub-Category</t>
  </si>
  <si>
    <t>COGS per Unit</t>
  </si>
  <si>
    <t>Feature Summary</t>
  </si>
  <si>
    <t>Launch Date</t>
  </si>
  <si>
    <t>Pricing Method</t>
  </si>
  <si>
    <t>HyFlex 11-800</t>
  </si>
  <si>
    <t>Mechanical Protection Gloves</t>
  </si>
  <si>
    <t>Gloves</t>
  </si>
  <si>
    <t>Mechanical Protection</t>
  </si>
  <si>
    <t>Cut-resistant, latex-free, touchscreen-compatible</t>
  </si>
  <si>
    <t>2018-03-15</t>
  </si>
  <si>
    <t>Cost-Plus</t>
  </si>
  <si>
    <t>AlphaTec 58-530</t>
  </si>
  <si>
    <t>Chemical Resistant Gloves</t>
  </si>
  <si>
    <t>Chemical Protection</t>
  </si>
  <si>
    <t>Chemical splash, 12" cuff, textured grip</t>
  </si>
  <si>
    <t>2019-06-01</t>
  </si>
  <si>
    <t>Value-Based</t>
  </si>
  <si>
    <t>ActivArmr 97-008</t>
  </si>
  <si>
    <t>Cut-Resistant Gloves</t>
  </si>
  <si>
    <t>Cut Protection</t>
  </si>
  <si>
    <t>ANSI A4 cut, nitrile coated, breathable</t>
  </si>
  <si>
    <t>2020-01-10</t>
  </si>
  <si>
    <t>Competitive Parity</t>
  </si>
  <si>
    <t>TouchNTuff 92-600</t>
  </si>
  <si>
    <t>Disposable Nitrile Gloves</t>
  </si>
  <si>
    <t>Single Use</t>
  </si>
  <si>
    <t>Powder-free, 4mil thickness, ambidextrous</t>
  </si>
  <si>
    <t>2017-08-22</t>
  </si>
  <si>
    <t>Microchem 3000</t>
  </si>
  <si>
    <t>Chemical Protective Suit</t>
  </si>
  <si>
    <t>Body Protection</t>
  </si>
  <si>
    <t>Type 3/4/5/6 protection, sealed seams</t>
  </si>
  <si>
    <t>2021-04-01</t>
  </si>
  <si>
    <t>AlphaTec 2300</t>
  </si>
  <si>
    <t>Disposable Coverall</t>
  </si>
  <si>
    <t>General Protection</t>
  </si>
  <si>
    <t>Breathable SMS fabric, elastic cuffs</t>
  </si>
  <si>
    <t>2019-11-15</t>
  </si>
  <si>
    <t>Penetration</t>
  </si>
  <si>
    <t>Edge 48-126</t>
  </si>
  <si>
    <t>Multi-Purpose Gloves</t>
  </si>
  <si>
    <t>General Purpose</t>
  </si>
  <si>
    <t>General purpose, knit wrist, abrasion-resistant</t>
  </si>
  <si>
    <t>2016-02-28</t>
  </si>
  <si>
    <t>Ringers R-065</t>
  </si>
  <si>
    <t>Impact-Resistant Gloves</t>
  </si>
  <si>
    <t>Impact Protection</t>
  </si>
  <si>
    <t>TPR back-of-hand, ANSI impact level 2</t>
  </si>
  <si>
    <t>2022-07-01</t>
  </si>
  <si>
    <t>Premium/Skimming</t>
  </si>
  <si>
    <t>BioClean S-BHMG</t>
  </si>
  <si>
    <t>Sterile Cleanroom Gloves</t>
  </si>
  <si>
    <t>Cleanroom</t>
  </si>
  <si>
    <t>Gamma irradiated, ISO Class 5, 12" length</t>
  </si>
  <si>
    <t>2023-01-15</t>
  </si>
  <si>
    <t>Barrier 02-100</t>
  </si>
  <si>
    <t>Laminate Chemical Gloves</t>
  </si>
  <si>
    <t>5-layer laminate, ASTM F739 certified</t>
  </si>
  <si>
    <t>2020-09-01</t>
  </si>
  <si>
    <t>Sales Rep Dimension — 5 Synthetic Reps</t>
  </si>
  <si>
    <t>Rep ID</t>
  </si>
  <si>
    <t>Rep Name</t>
  </si>
  <si>
    <t>Level</t>
  </si>
  <si>
    <t>Annual Quota</t>
  </si>
  <si>
    <t>Sarah Johnson</t>
  </si>
  <si>
    <t>Senior</t>
  </si>
  <si>
    <t>Mike Chen</t>
  </si>
  <si>
    <t>Mid</t>
  </si>
  <si>
    <t>Lisa Rodriguez</t>
  </si>
  <si>
    <t>James Williams</t>
  </si>
  <si>
    <t>Junior</t>
  </si>
  <si>
    <t>Emily Davis</t>
  </si>
  <si>
    <t>Deal/Opportunity Table — 60 Synthetic Deals (incl. Approval Workflow)</t>
  </si>
  <si>
    <t>Deal Id</t>
  </si>
  <si>
    <t>Deal Outcome</t>
  </si>
  <si>
    <t>Final Price</t>
  </si>
  <si>
    <t>Discount Pct</t>
  </si>
  <si>
    <t>Deal Size</t>
  </si>
  <si>
    <t>Sales Cycle Days</t>
  </si>
  <si>
    <t>Number Of Approvals</t>
  </si>
  <si>
    <t>Loss Reason</t>
  </si>
  <si>
    <t>Competitor Cited</t>
  </si>
  <si>
    <t>Deal Date</t>
  </si>
  <si>
    <t>Deal Source</t>
  </si>
  <si>
    <t>Customer Lifetime Value</t>
  </si>
  <si>
    <t>Quote Id</t>
  </si>
  <si>
    <t>Pipeline Stage</t>
  </si>
  <si>
    <t>Initial Discount Requested</t>
  </si>
  <si>
    <t>Final Discount Approved</t>
  </si>
  <si>
    <t>Approval Level</t>
  </si>
  <si>
    <t>Approval Turnaround Days</t>
  </si>
  <si>
    <t>Override Flag</t>
  </si>
  <si>
    <t>Discount Policy Limit</t>
  </si>
  <si>
    <t>DEAL-0001</t>
  </si>
  <si>
    <t>Lost</t>
  </si>
  <si>
    <t>No Decision</t>
  </si>
  <si>
    <t>2025-11-15</t>
  </si>
  <si>
    <t>Referral</t>
  </si>
  <si>
    <t>QTE-0001</t>
  </si>
  <si>
    <t>Closed</t>
  </si>
  <si>
    <t>SVP</t>
  </si>
  <si>
    <t>DEAL-0002</t>
  </si>
  <si>
    <t>MSA Safety</t>
  </si>
  <si>
    <t>2025-08-09</t>
  </si>
  <si>
    <t>Outbound</t>
  </si>
  <si>
    <t>QTE-0002</t>
  </si>
  <si>
    <t>C-Suite</t>
  </si>
  <si>
    <t>DEAL-0003</t>
  </si>
  <si>
    <t>Won</t>
  </si>
  <si>
    <t>2024-05-30</t>
  </si>
  <si>
    <t>Inbound</t>
  </si>
  <si>
    <t>QTE-0003</t>
  </si>
  <si>
    <t>Manager</t>
  </si>
  <si>
    <t>DEAL-0004</t>
  </si>
  <si>
    <t>Existing Account</t>
  </si>
  <si>
    <t>QTE-0004</t>
  </si>
  <si>
    <t>Negotiation</t>
  </si>
  <si>
    <t>VP</t>
  </si>
  <si>
    <t>DEAL-0005</t>
  </si>
  <si>
    <t>2025-07-23</t>
  </si>
  <si>
    <t>QTE-0005</t>
  </si>
  <si>
    <t>DEAL-0006</t>
  </si>
  <si>
    <t>2025-03-05</t>
  </si>
  <si>
    <t>QTE-0006</t>
  </si>
  <si>
    <t>DEAL-0007</t>
  </si>
  <si>
    <t>Price</t>
  </si>
  <si>
    <t>Kimberly-Clark</t>
  </si>
  <si>
    <t>QTE-0007</t>
  </si>
  <si>
    <t>DEAL-0008</t>
  </si>
  <si>
    <t>2025-09-15</t>
  </si>
  <si>
    <t>QTE-0008</t>
  </si>
  <si>
    <t>DEAL-0009</t>
  </si>
  <si>
    <t>Timing</t>
  </si>
  <si>
    <t>QTE-0009</t>
  </si>
  <si>
    <t>DEAL-0010</t>
  </si>
  <si>
    <t>2025-03-02</t>
  </si>
  <si>
    <t>QTE-0010</t>
  </si>
  <si>
    <t>DEAL-0011</t>
  </si>
  <si>
    <t>2025-02-17</t>
  </si>
  <si>
    <t>QTE-0011</t>
  </si>
  <si>
    <t>DEAL-0012</t>
  </si>
  <si>
    <t>2024-09-12</t>
  </si>
  <si>
    <t>QTE-0012</t>
  </si>
  <si>
    <t>DEAL-0013</t>
  </si>
  <si>
    <t>2025-11-28</t>
  </si>
  <si>
    <t>QTE-0013</t>
  </si>
  <si>
    <t>DEAL-0014</t>
  </si>
  <si>
    <t>QTE-0014</t>
  </si>
  <si>
    <t>DEAL-0015</t>
  </si>
  <si>
    <t>2024-08-14</t>
  </si>
  <si>
    <t>QTE-0015</t>
  </si>
  <si>
    <t>DEAL-0016</t>
  </si>
  <si>
    <t>2025-10-24</t>
  </si>
  <si>
    <t>QTE-0016</t>
  </si>
  <si>
    <t>DEAL-0017</t>
  </si>
  <si>
    <t>3M</t>
  </si>
  <si>
    <t>2025-04-22</t>
  </si>
  <si>
    <t>QTE-0017</t>
  </si>
  <si>
    <t>DEAL-0018</t>
  </si>
  <si>
    <t>2025-08-31</t>
  </si>
  <si>
    <t>QTE-0018</t>
  </si>
  <si>
    <t>DEAL-0019</t>
  </si>
  <si>
    <t>2024-09-24</t>
  </si>
  <si>
    <t>QTE-0019</t>
  </si>
  <si>
    <t>DEAL-0020</t>
  </si>
  <si>
    <t>Honeywell</t>
  </si>
  <si>
    <t>QTE-0020</t>
  </si>
  <si>
    <t>Rep</t>
  </si>
  <si>
    <t>DEAL-0021</t>
  </si>
  <si>
    <t>2024-12-17</t>
  </si>
  <si>
    <t>QTE-0021</t>
  </si>
  <si>
    <t>DEAL-0022</t>
  </si>
  <si>
    <t>2024-04-09</t>
  </si>
  <si>
    <t>QTE-0022</t>
  </si>
  <si>
    <t>DEAL-0023</t>
  </si>
  <si>
    <t>2024-08-16</t>
  </si>
  <si>
    <t>QTE-0023</t>
  </si>
  <si>
    <t>DEAL-0024</t>
  </si>
  <si>
    <t>QTE-0024</t>
  </si>
  <si>
    <t>DEAL-0025</t>
  </si>
  <si>
    <t>2024-12-16</t>
  </si>
  <si>
    <t>QTE-0025</t>
  </si>
  <si>
    <t>DEAL-0026</t>
  </si>
  <si>
    <t>QTE-0026</t>
  </si>
  <si>
    <t>DEAL-0027</t>
  </si>
  <si>
    <t>2025-05-16</t>
  </si>
  <si>
    <t>QTE-0027</t>
  </si>
  <si>
    <t>DEAL-0028</t>
  </si>
  <si>
    <t>QTE-0028</t>
  </si>
  <si>
    <t>DEAL-0029</t>
  </si>
  <si>
    <t>QTE-0029</t>
  </si>
  <si>
    <t>DEAL-0030</t>
  </si>
  <si>
    <t>QTE-0030</t>
  </si>
  <si>
    <t>DEAL-0031</t>
  </si>
  <si>
    <t>2024-08-17</t>
  </si>
  <si>
    <t>QTE-0031</t>
  </si>
  <si>
    <t>DEAL-0032</t>
  </si>
  <si>
    <t>2024-09-18</t>
  </si>
  <si>
    <t>QTE-0032</t>
  </si>
  <si>
    <t>DEAL-0033</t>
  </si>
  <si>
    <t>2025-07-14</t>
  </si>
  <si>
    <t>QTE-0033</t>
  </si>
  <si>
    <t>DEAL-0034</t>
  </si>
  <si>
    <t>QTE-0034</t>
  </si>
  <si>
    <t>DEAL-0035</t>
  </si>
  <si>
    <t>QTE-0035</t>
  </si>
  <si>
    <t>DEAL-0036</t>
  </si>
  <si>
    <t>Feature Gap</t>
  </si>
  <si>
    <t>QTE-0036</t>
  </si>
  <si>
    <t>DEAL-0037</t>
  </si>
  <si>
    <t>QTE-0037</t>
  </si>
  <si>
    <t>DEAL-0038</t>
  </si>
  <si>
    <t>2025-01-03</t>
  </si>
  <si>
    <t>QTE-0038</t>
  </si>
  <si>
    <t>DEAL-0039</t>
  </si>
  <si>
    <t>QTE-0039</t>
  </si>
  <si>
    <t>DEAL-0040</t>
  </si>
  <si>
    <t>2025-12-07</t>
  </si>
  <si>
    <t>QTE-0040</t>
  </si>
  <si>
    <t>DEAL-0041</t>
  </si>
  <si>
    <t>Budget</t>
  </si>
  <si>
    <t>2025-11-25</t>
  </si>
  <si>
    <t>QTE-0041</t>
  </si>
  <si>
    <t>DEAL-0042</t>
  </si>
  <si>
    <t>2024-04-25</t>
  </si>
  <si>
    <t>QTE-0042</t>
  </si>
  <si>
    <t>DEAL-0043</t>
  </si>
  <si>
    <t>2025-08-13</t>
  </si>
  <si>
    <t>QTE-0043</t>
  </si>
  <si>
    <t>DEAL-0044</t>
  </si>
  <si>
    <t>QTE-0044</t>
  </si>
  <si>
    <t>DEAL-0045</t>
  </si>
  <si>
    <t>2024-11-24</t>
  </si>
  <si>
    <t>QTE-0045</t>
  </si>
  <si>
    <t>DEAL-0046</t>
  </si>
  <si>
    <t>QTE-0046</t>
  </si>
  <si>
    <t>DEAL-0047</t>
  </si>
  <si>
    <t>2025-10-31</t>
  </si>
  <si>
    <t>QTE-0047</t>
  </si>
  <si>
    <t>DEAL-0048</t>
  </si>
  <si>
    <t>2024-11-07</t>
  </si>
  <si>
    <t>QTE-0048</t>
  </si>
  <si>
    <t>DEAL-0049</t>
  </si>
  <si>
    <t>DuPont</t>
  </si>
  <si>
    <t>QTE-0049</t>
  </si>
  <si>
    <t>DEAL-0050</t>
  </si>
  <si>
    <t>2025-01-17</t>
  </si>
  <si>
    <t>QTE-0050</t>
  </si>
  <si>
    <t>DEAL-0051</t>
  </si>
  <si>
    <t>2024-05-03</t>
  </si>
  <si>
    <t>QTE-0051</t>
  </si>
  <si>
    <t>DEAL-0052</t>
  </si>
  <si>
    <t>Competitor</t>
  </si>
  <si>
    <t>2024-05-17</t>
  </si>
  <si>
    <t>QTE-0052</t>
  </si>
  <si>
    <t>DEAL-0053</t>
  </si>
  <si>
    <t>2024-04-16</t>
  </si>
  <si>
    <t>QTE-0053</t>
  </si>
  <si>
    <t>DEAL-0054</t>
  </si>
  <si>
    <t>2024-10-07</t>
  </si>
  <si>
    <t>QTE-0054</t>
  </si>
  <si>
    <t>DEAL-0055</t>
  </si>
  <si>
    <t>QTE-0055</t>
  </si>
  <si>
    <t>DEAL-0056</t>
  </si>
  <si>
    <t>2025-12-28</t>
  </si>
  <si>
    <t>QTE-0056</t>
  </si>
  <si>
    <t>DEAL-0057</t>
  </si>
  <si>
    <t>2025-03-08</t>
  </si>
  <si>
    <t>QTE-0057</t>
  </si>
  <si>
    <t>DEAL-0058</t>
  </si>
  <si>
    <t>QTE-0058</t>
  </si>
  <si>
    <t>DEAL-0059</t>
  </si>
  <si>
    <t>QTE-0059</t>
  </si>
  <si>
    <t>DEAL-0060</t>
  </si>
  <si>
    <t>2024-01-14</t>
  </si>
  <si>
    <t>QTE-0060</t>
  </si>
  <si>
    <t>Contract Table — 15 Synthetic Contracts</t>
  </si>
  <si>
    <t>Start Date</t>
  </si>
  <si>
    <t>End Date</t>
  </si>
  <si>
    <t>Committed Volume</t>
  </si>
  <si>
    <t>Contracted Discount Pct</t>
  </si>
  <si>
    <t>Rebate Schedule</t>
  </si>
  <si>
    <t>Auto Renewal</t>
  </si>
  <si>
    <t>Price Escalation Clause</t>
  </si>
  <si>
    <t>Actual Volume Ytd</t>
  </si>
  <si>
    <t>Contracted Price</t>
  </si>
  <si>
    <t>Contracted Payment Terms</t>
  </si>
  <si>
    <t>Actual Avg Payment Days</t>
  </si>
  <si>
    <t>Volume Compliance Pct</t>
  </si>
  <si>
    <t>2023-04-26</t>
  </si>
  <si>
    <t>2025-04-25</t>
  </si>
  <si>
    <t>Quarterly</t>
  </si>
  <si>
    <t>Fixed 3%</t>
  </si>
  <si>
    <t>2023-04-06</t>
  </si>
  <si>
    <t>2024-04-05</t>
  </si>
  <si>
    <t>Annual</t>
  </si>
  <si>
    <t>Multi-Year</t>
  </si>
  <si>
    <t>2023-05-11</t>
  </si>
  <si>
    <t>2024-05-10</t>
  </si>
  <si>
    <t>None</t>
  </si>
  <si>
    <t>2023-11-17</t>
  </si>
  <si>
    <t>2025-11-16</t>
  </si>
  <si>
    <t>2023-09-16</t>
  </si>
  <si>
    <t>2024-09-15</t>
  </si>
  <si>
    <t>2023-04-22</t>
  </si>
  <si>
    <t>2025-04-21</t>
  </si>
  <si>
    <t>2023-06-14</t>
  </si>
  <si>
    <t>2025-06-13</t>
  </si>
  <si>
    <t>2023-08-17</t>
  </si>
  <si>
    <t>2025-08-16</t>
  </si>
  <si>
    <t>CPI-linked</t>
  </si>
  <si>
    <t>2023-10-01</t>
  </si>
  <si>
    <t>2024-09-30</t>
  </si>
  <si>
    <t>2023-12-26</t>
  </si>
  <si>
    <t>2023-02-07</t>
  </si>
  <si>
    <t>Negotiated</t>
  </si>
  <si>
    <t>2023-11-19</t>
  </si>
  <si>
    <t>2025-11-18</t>
  </si>
  <si>
    <t>2023-10-27</t>
  </si>
  <si>
    <t>2024-10-26</t>
  </si>
  <si>
    <t>2023-05-25</t>
  </si>
  <si>
    <t>2023-07-20</t>
  </si>
  <si>
    <t>Promotion Table — 5 Synthetic Promotions</t>
  </si>
  <si>
    <t>Promotion Name</t>
  </si>
  <si>
    <t>Promotion Type</t>
  </si>
  <si>
    <t>Target Segment</t>
  </si>
  <si>
    <t>Products Included</t>
  </si>
  <si>
    <t>Budget Allocated</t>
  </si>
  <si>
    <t>Actual Spend</t>
  </si>
  <si>
    <t>Promotional Price (Avg)</t>
  </si>
  <si>
    <t>Regular Price (Avg)</t>
  </si>
  <si>
    <t>Units Sold During Promo</t>
  </si>
  <si>
    <t>Units Sold Pre-Period</t>
  </si>
  <si>
    <t>Units Sold Post-Period</t>
  </si>
  <si>
    <t>Incremental Revenue</t>
  </si>
  <si>
    <t>Q1 Volume Push</t>
  </si>
  <si>
    <t>Bundle</t>
  </si>
  <si>
    <t>2024-01-01</t>
  </si>
  <si>
    <t>2024-01-22</t>
  </si>
  <si>
    <t>New Customers</t>
  </si>
  <si>
    <t>All Gloves</t>
  </si>
  <si>
    <t>Summer Safety Sale</t>
  </si>
  <si>
    <t>Temporary Price Cut</t>
  </si>
  <si>
    <t>Year-End Clearance</t>
  </si>
  <si>
    <t>2024-04-30</t>
  </si>
  <si>
    <t>2024-05-26</t>
  </si>
  <si>
    <t>All</t>
  </si>
  <si>
    <t>Full Catalog</t>
  </si>
  <si>
    <t>New Product Launch</t>
  </si>
  <si>
    <t>2024-06-29</t>
  </si>
  <si>
    <t>SKU-1001,SKU-1007</t>
  </si>
  <si>
    <t>Customer Appreciation</t>
  </si>
  <si>
    <t>2024-08-28</t>
  </si>
  <si>
    <t>2024-09-17</t>
  </si>
  <si>
    <t>Cost-to-Serve Table — 10 Customers</t>
  </si>
  <si>
    <t>Service Cost</t>
  </si>
  <si>
    <t>Logistics Cost</t>
  </si>
  <si>
    <t>Customization Cost</t>
  </si>
  <si>
    <t>Payment Terms Cost</t>
  </si>
  <si>
    <t>Sales Coverage Cost</t>
  </si>
  <si>
    <t>Returns Processing Cost</t>
  </si>
  <si>
    <t>Total Cost To Serve</t>
  </si>
  <si>
    <t>Analysis Period</t>
  </si>
  <si>
    <t>2024</t>
  </si>
  <si>
    <t>Competitive Intelligence — 12 Synthetic Records</t>
  </si>
  <si>
    <t>Own Product Sku</t>
  </si>
  <si>
    <t>Own Product Name</t>
  </si>
  <si>
    <t>Competitor Name</t>
  </si>
  <si>
    <t>Competitor Product</t>
  </si>
  <si>
    <t>Competitor Price</t>
  </si>
  <si>
    <t>Price Position</t>
  </si>
  <si>
    <t>Data Source</t>
  </si>
  <si>
    <t>Confidence Level</t>
  </si>
  <si>
    <t>As Of Date</t>
  </si>
  <si>
    <t>Market Share Est</t>
  </si>
  <si>
    <t>Feature Comparison</t>
  </si>
  <si>
    <t>Kimberly-Clark Gloves Equivalent</t>
  </si>
  <si>
    <t>Parity</t>
  </si>
  <si>
    <t>Public Pricing</t>
  </si>
  <si>
    <t>High</t>
  </si>
  <si>
    <t>2025-01-15</t>
  </si>
  <si>
    <t>12%</t>
  </si>
  <si>
    <t>Superior</t>
  </si>
  <si>
    <t>3M Gloves Equivalent</t>
  </si>
  <si>
    <t>6%</t>
  </si>
  <si>
    <t>Inferior</t>
  </si>
  <si>
    <t>Market Research</t>
  </si>
  <si>
    <t>25%</t>
  </si>
  <si>
    <t>DuPont Gloves Equivalent</t>
  </si>
  <si>
    <t>Discount</t>
  </si>
  <si>
    <t>Low</t>
  </si>
  <si>
    <t>13%</t>
  </si>
  <si>
    <t>Comparable</t>
  </si>
  <si>
    <t>Win/Loss Interview</t>
  </si>
  <si>
    <t>17%</t>
  </si>
  <si>
    <t>33%</t>
  </si>
  <si>
    <t>MSA Safety Gloves Equivalent</t>
  </si>
  <si>
    <t>Premium</t>
  </si>
  <si>
    <t>3M Body Protection Equivalent</t>
  </si>
  <si>
    <t>Kimberly-Clark Body Protection Equivalent</t>
  </si>
  <si>
    <t>Medium</t>
  </si>
  <si>
    <t>26%</t>
  </si>
  <si>
    <t>MSA Safety Body Protection Equivalent</t>
  </si>
  <si>
    <t>Distributor Intel</t>
  </si>
  <si>
    <t>List Price History — 40 Records (10 products x 4 years)</t>
  </si>
  <si>
    <t>Effective Date</t>
  </si>
  <si>
    <t>Previous Price</t>
  </si>
  <si>
    <t>Change Pct</t>
  </si>
  <si>
    <t>Change Reason</t>
  </si>
  <si>
    <t>2022-01-01</t>
  </si>
  <si>
    <t>N/A</t>
  </si>
  <si>
    <t>Initial</t>
  </si>
  <si>
    <t>2023-01-01</t>
  </si>
  <si>
    <t>4.0%</t>
  </si>
  <si>
    <t>Annual Increase</t>
  </si>
  <si>
    <t>Market Adjustment</t>
  </si>
  <si>
    <t>2025-01-01</t>
  </si>
  <si>
    <t>Cost Pass-Through</t>
  </si>
  <si>
    <t>Churn Events Table — Synthetic Customer Churn Data</t>
  </si>
  <si>
    <t>Tracks customer churn/retention events for Analysis 18</t>
  </si>
  <si>
    <t>Churn Flag</t>
  </si>
  <si>
    <t>Churn Date</t>
  </si>
  <si>
    <t>Churn Reason</t>
  </si>
  <si>
    <t>Last Contract Price</t>
  </si>
  <si>
    <t>Proposed Renewal Price</t>
  </si>
  <si>
    <t>Price Change at Renewal</t>
  </si>
  <si>
    <t>Tenure at Churn (Years)</t>
  </si>
  <si>
    <t>Win-Back Attempted</t>
  </si>
  <si>
    <t>Budget Cut</t>
  </si>
  <si>
    <t>2025-12-19</t>
  </si>
  <si>
    <t>Price Increase</t>
  </si>
  <si>
    <t>Margin Uplift Opportunity Sizing — Output Template (Analysis 20)</t>
  </si>
  <si>
    <t>This is the OUTPUT structure that the analysis engine produces after running Analyses 01-19</t>
  </si>
  <si>
    <t>Opportunity ID</t>
  </si>
  <si>
    <t>Source Analysis</t>
  </si>
  <si>
    <t>Opportunity Description</t>
  </si>
  <si>
    <t>Lever Type</t>
  </si>
  <si>
    <t>Gross Uplift Estimate ($)</t>
  </si>
  <si>
    <t>Capture Rate (%)</t>
  </si>
  <si>
    <t>Net Uplift ($)</t>
  </si>
  <si>
    <t>Implementation Complexity</t>
  </si>
  <si>
    <t>Time to Impact</t>
  </si>
  <si>
    <t>Overlap Flag</t>
  </si>
  <si>
    <t>OPP-001</t>
  </si>
  <si>
    <t>01 Waterfall</t>
  </si>
  <si>
    <t>Reduce off-invoice rebate leakage</t>
  </si>
  <si>
    <t>Reduce Leakage</t>
  </si>
  <si>
    <t>3-6 months</t>
  </si>
  <si>
    <t>OPP-002</t>
  </si>
  <si>
    <t>Eliminate stacked discounts on top 10 accounts</t>
  </si>
  <si>
    <t>Eliminate Stacking</t>
  </si>
  <si>
    <t>6-12 months</t>
  </si>
  <si>
    <t>OPP-003</t>
  </si>
  <si>
    <t>02 Price Band</t>
  </si>
  <si>
    <t>Floor tightening on bottom-quartile transactions</t>
  </si>
  <si>
    <t>Floor Tightening</t>
  </si>
  <si>
    <t>1-3 months</t>
  </si>
  <si>
    <t>OPP-004</t>
  </si>
  <si>
    <t>03 PVM</t>
  </si>
  <si>
    <t>Reverse negative mix shift in Gloves category</t>
  </si>
  <si>
    <t>Mix Optimization</t>
  </si>
  <si>
    <t>OPP-005</t>
  </si>
  <si>
    <t>04 Profitability</t>
  </si>
  <si>
    <t>Reprice margin-negative customers</t>
  </si>
  <si>
    <t>Reprice</t>
  </si>
  <si>
    <t>OPP-006</t>
  </si>
  <si>
    <t>05 Win/Loss</t>
  </si>
  <si>
    <t>Reduce excessive discounting on lost deals</t>
  </si>
  <si>
    <t>Discount Discipline</t>
  </si>
  <si>
    <t>OPP-007</t>
  </si>
  <si>
    <t>07 Governance</t>
  </si>
  <si>
    <t>Enforce approval thresholds above 15%</t>
  </si>
  <si>
    <t>Governance</t>
  </si>
  <si>
    <t>OPP-008</t>
  </si>
  <si>
    <t>08 Contracts</t>
  </si>
  <si>
    <t>Close payment terms leakage</t>
  </si>
  <si>
    <t>Terms Leakage</t>
  </si>
  <si>
    <t>OPP-009</t>
  </si>
  <si>
    <t>13 Promotions</t>
  </si>
  <si>
    <t>Eliminate ROI-negative promotions</t>
  </si>
  <si>
    <t>Promo Rationalization</t>
  </si>
  <si>
    <t>OPP-010</t>
  </si>
  <si>
    <t>19 Rep Behavior</t>
  </si>
  <si>
    <t>Coach bottom-quartile reps on pricing discipline</t>
  </si>
  <si>
    <t>Rep Coaching</t>
  </si>
  <si>
    <t>TOTAL (De-duplicated)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</si>
</sst>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
  </numFmts>
  <fonts count="10" x14ac:knownFonts="1">
    <font>
      <sz val="11"/>
      <color theme="1"/>
      <name val="Calibri"/>
      <family val="2"/>
      <charset val="1"/>
    </font>
    <font>
      <b/>
      <sz val="14"/>
      <color rgb="FF1B3A5C"/>
      <name val="Arial"/>
      <charset val="1"/>
    </font>
    <font>
      <i/>
      <sz val="9"/>
      <color rgb="FF666666"/>
      <name val="Arial"/>
      <charset val="1"/>
    </font>
    <font>
      <b/>
      <sz val="11"/>
      <color rgb="FFFFFFFF"/>
      <name val="Arial"/>
      <charset val="1"/>
    </font>
    <font>
      <sz val="10"/>
      <name val="Arial"/>
      <charset val="1"/>
    </font>
    <font>
      <b/>
      <sz val="11"/>
      <color rgb="FF1B3A5C"/>
      <name val="Arial"/>
      <charset val="1"/>
    </font>
    <font>
      <b/>
      <sz val="7"/>
      <color rgb="FF1B3A5C"/>
      <name val="Arial"/>
      <charset val="1"/>
    </font>
    <font>
      <b/>
      <sz val="10"/>
      <name val="Arial"/>
      <charset val="1"/>
    </font>
    <font>
      <b/>
      <sz val="9"/>
      <color rgb="FF8B0000"/>
      <name val="Arial"/>
      <charset val="1"/>
    </font>
    <font>
      <sz val="9"/>
      <color rgb="FF666600"/>
      <name val="Arial"/>
      <charset val="1"/>
    </font>
  </fonts>
  <fills count="8">
    <fill>
      <patternFill patternType="none"/>
    </fill>
    <fill>
      <patternFill patternType="gray125"/>
    </fill>
    <fill>
      <patternFill patternType="solid">
        <fgColor rgb="FF1B3A5C"/>
        <bgColor rgb="FF333399"/>
      </patternFill>
    </fill>
    <fill>
      <patternFill patternType="solid">
        <fgColor rgb="FFD4EDDA"/>
        <bgColor rgb="FFCCFFFF"/>
      </patternFill>
    </fill>
    <fill>
      <patternFill patternType="solid">
        <fgColor rgb="FFFFF3CD"/>
        <bgColor rgb="FFFFFFCC"/>
      </patternFill>
    </fill>
    <fill>
      <patternFill patternType="solid">
        <fgColor rgb="FFFFD7D7"/>
        <bgColor rgb="FFFFF3CD"/>
      </patternFill>
    </fill>
    <fill>
      <patternFill patternType="solid">
        <fgColor rgb="FFFF9999"/>
        <bgColor rgb="FFED7D31"/>
      </patternFill>
    </fill>
    <fill>
      <patternFill patternType="solid">
        <fgColor rgb="FFFFFFCC"/>
        <bgColor rgb="FFFFF3C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wrapText="1"/>
    </xf>
    <xf numFmtId="0" fontId="4" fillId="0" borderId="1" xfId="0" applyFont="1" applyBorder="1"/>
    <xf numFmtId="0" fontId="4" fillId="3" borderId="1" xfId="0" applyFont="1" applyFill="1" applyBorder="1"/>
    <xf numFmtId="0" fontId="4" fillId="0" borderId="1" xfId="0" applyFont="1" applyBorder="1" applyAlignment="1">
      <alignment vertical="top" wrapText="1"/>
    </xf>
    <xf numFmtId="0" fontId="4" fillId="4" borderId="1" xfId="0" applyFont="1" applyFill="1" applyBorder="1"/>
    <xf numFmtId="0" fontId="4" fillId="5" borderId="1" xfId="0" applyFont="1" applyFill="1" applyBorder="1"/>
    <xf numFmtId="0" fontId="5" fillId="0" borderId="0" xfId="0" applyFont="1"/>
    <xf numFmtId="0" fontId="6" fillId="0" borderId="0" xfId="0" applyFont="1" applyAlignment="1">
      <alignment horizontal="center" textRotation="90" wrapText="1"/>
    </xf>
    <xf numFmtId="0" fontId="3" fillId="2" borderId="1" xfId="0" applyFont="1" applyFill="1" applyBorder="1" applyAlignment="1">
      <alignment horizontal="center" vertical="center" wrapText="1"/>
    </xf>
    <xf numFmtId="0" fontId="7" fillId="0" borderId="1" xfId="0" applyFont="1" applyBorder="1"/>
    <xf numFmtId="0" fontId="8" fillId="6" borderId="1" xfId="0" applyFont="1" applyFill="1" applyBorder="1" applyAlignment="1">
      <alignment horizontal="center"/>
    </xf>
    <xf numFmtId="0" fontId="4" fillId="0" borderId="1" xfId="0" applyFont="1" applyBorder="1" applyAlignment="1">
      <alignment horizontal="center"/>
    </xf>
    <xf numFmtId="0" fontId="9" fillId="7" borderId="1" xfId="0" applyFont="1" applyFill="1" applyBorder="1" applyAlignment="1">
      <alignment horizontal="center"/>
    </xf>
    <xf numFmtId="3" fontId="4" fillId="0" borderId="1" xfId="0" applyNumberFormat="1" applyFont="1" applyBorder="1"/>
    <xf numFmtId="164" fontId="4" fillId="0" borderId="1" xfId="0" applyNumberFormat="1" applyFont="1" applyBorder="1"/>
    <xf numFmtId="165" fontId="4" fillId="0" borderId="1" xfId="0" applyNumberFormat="1" applyFont="1" applyBorder="1"/>
    <xf numFmtId="166" fontId="4" fillId="0" borderId="1" xfId="0" applyNumberFormat="1" applyFont="1" applyBorder="1"/>
    <xf numFmtId="9" fontId="4"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008000"/>
      <rgbColor rgb="FF000080"/>
      <rgbColor rgb="FF666600"/>
      <rgbColor rgb="FF800080"/>
      <rgbColor rgb="FF00B050"/>
      <rgbColor rgb="FFCCCCCC"/>
      <rgbColor rgb="FF808080"/>
      <rgbColor rgb="FF5B9BD5"/>
      <rgbColor rgb="FF7030A0"/>
      <rgbColor rgb="FFFFFFCC"/>
      <rgbColor rgb="FFCCFFFF"/>
      <rgbColor rgb="FF660066"/>
      <rgbColor rgb="FFED7D31"/>
      <rgbColor rgb="FF2E75B6"/>
      <rgbColor rgb="FFCCCCFF"/>
      <rgbColor rgb="FF000080"/>
      <rgbColor rgb="FFFF00FF"/>
      <rgbColor rgb="FFFFFF00"/>
      <rgbColor rgb="FF00FFFF"/>
      <rgbColor rgb="FF800080"/>
      <rgbColor rgb="FFBF0000"/>
      <rgbColor rgb="FF008080"/>
      <rgbColor rgb="FF0000FF"/>
      <rgbColor rgb="FF00CCFF"/>
      <rgbColor rgb="FFCCFFFF"/>
      <rgbColor rgb="FFD4EDDA"/>
      <rgbColor rgb="FFFFF3CD"/>
      <rgbColor rgb="FF99CCFF"/>
      <rgbColor rgb="FFFF9999"/>
      <rgbColor rgb="FFCC99FF"/>
      <rgbColor rgb="FFFFD7D7"/>
      <rgbColor rgb="FF4472C4"/>
      <rgbColor rgb="FF33CCCC"/>
      <rgbColor rgb="FF99CC00"/>
      <rgbColor rgb="FFFFC000"/>
      <rgbColor rgb="FFFF9900"/>
      <rgbColor rgb="FFFF6600"/>
      <rgbColor rgb="FF666666"/>
      <rgbColor rgb="FF70AD47"/>
      <rgbColor rgb="FF002060"/>
      <rgbColor rgb="FF548235"/>
      <rgbColor rgb="FF003300"/>
      <rgbColor rgb="FF333300"/>
      <rgbColor rgb="FF993300"/>
      <rgbColor rgb="FF993366"/>
      <rgbColor rgb="FF333399"/>
      <rgbColor rgb="FF1B3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600"/>
  </sheetPr>
  <dimension ref="A1:G30"/>
  <sheetViews>
    <sheetView tabSelected="1" zoomScaleNormal="100" workbookViewId="0">
      <pane ySplit="4" topLeftCell="A5" activePane="bottomLeft" state="frozen"/>
      <selection pane="bottomLeft" activeCell="H1" sqref="H1"/>
    </sheetView>
  </sheetViews>
  <sheetFormatPr defaultColWidth="8.6640625" defaultRowHeight="15" customHeight="1" x14ac:dyDescent="0.3"/>
  <cols>
    <col min="1" max="1" width="10" customWidth="1"/>
    <col min="2" max="2" width="32" customWidth="1"/>
    <col min="3" max="3" width="14" customWidth="1"/>
    <col min="4" max="4" width="12" customWidth="1"/>
    <col min="5" max="5" width="32" customWidth="1"/>
    <col min="6" max="6" width="40" customWidth="1"/>
    <col min="7" max="7" width="55" customWidth="1"/>
  </cols>
  <sheetData>
    <row r="1" spans="1:7" ht="17.25" customHeight="1" x14ac:dyDescent="0.3">
      <c r="A1" s="2" t="s">
        <v>0</v>
      </c>
      <c r="B1" s="2"/>
      <c r="C1" s="2"/>
      <c r="D1" s="2"/>
      <c r="E1" s="2"/>
      <c r="F1" s="2"/>
      <c r="G1" s="2"/>
    </row>
    <row r="2" spans="1:7" ht="15" customHeight="1" x14ac:dyDescent="0.3">
      <c r="A2" s="1" t="s">
        <v>1</v>
      </c>
      <c r="B2" s="1"/>
      <c r="C2" s="1"/>
      <c r="D2" s="1"/>
      <c r="E2" s="1"/>
      <c r="F2" s="1"/>
      <c r="G2" s="1"/>
    </row>
    <row r="4" spans="1:7" ht="15" customHeight="1" x14ac:dyDescent="0.3">
      <c r="A4" s="4" t="s">
        <v>2</v>
      </c>
      <c r="B4" s="4" t="s">
        <v>3</v>
      </c>
      <c r="C4" s="4" t="s">
        <v>4</v>
      </c>
      <c r="D4" s="4" t="s">
        <v>5</v>
      </c>
      <c r="E4" s="4" t="s">
        <v>6</v>
      </c>
      <c r="F4" s="4" t="s">
        <v>7</v>
      </c>
      <c r="G4" s="4" t="s">
        <v>8</v>
      </c>
    </row>
    <row r="5" spans="1:7" ht="15" customHeight="1" x14ac:dyDescent="0.3">
      <c r="A5" s="5" t="s">
        <v>9</v>
      </c>
      <c r="B5" s="5" t="s">
        <v>10</v>
      </c>
      <c r="C5" s="6" t="s">
        <v>11</v>
      </c>
      <c r="D5" s="5" t="s">
        <v>12</v>
      </c>
      <c r="E5" s="7" t="s">
        <v>13</v>
      </c>
      <c r="F5" s="7"/>
      <c r="G5" s="7"/>
    </row>
    <row r="6" spans="1:7" ht="15" customHeight="1" x14ac:dyDescent="0.3">
      <c r="A6" s="5" t="s">
        <v>14</v>
      </c>
      <c r="B6" s="5" t="s">
        <v>15</v>
      </c>
      <c r="C6" s="6" t="s">
        <v>11</v>
      </c>
      <c r="D6" s="5" t="s">
        <v>12</v>
      </c>
      <c r="E6" s="7" t="s">
        <v>16</v>
      </c>
      <c r="F6" s="7"/>
      <c r="G6" s="7"/>
    </row>
    <row r="7" spans="1:7" ht="31.2" customHeight="1" x14ac:dyDescent="0.3">
      <c r="A7" s="5" t="s">
        <v>17</v>
      </c>
      <c r="B7" s="5" t="s">
        <v>18</v>
      </c>
      <c r="C7" s="8" t="s">
        <v>19</v>
      </c>
      <c r="D7" s="5" t="s">
        <v>12</v>
      </c>
      <c r="E7" s="7" t="s">
        <v>20</v>
      </c>
      <c r="F7" s="7" t="s">
        <v>21</v>
      </c>
      <c r="G7" s="7" t="s">
        <v>22</v>
      </c>
    </row>
    <row r="8" spans="1:7" ht="15" customHeight="1" x14ac:dyDescent="0.3">
      <c r="A8" s="5" t="s">
        <v>23</v>
      </c>
      <c r="B8" s="5" t="s">
        <v>24</v>
      </c>
      <c r="C8" s="6" t="s">
        <v>11</v>
      </c>
      <c r="D8" s="5" t="s">
        <v>12</v>
      </c>
      <c r="E8" s="7" t="s">
        <v>25</v>
      </c>
      <c r="F8" s="7"/>
      <c r="G8" s="7"/>
    </row>
    <row r="9" spans="1:7" ht="15" customHeight="1" x14ac:dyDescent="0.3">
      <c r="A9" s="5" t="s">
        <v>26</v>
      </c>
      <c r="B9" s="5" t="s">
        <v>27</v>
      </c>
      <c r="C9" s="6" t="s">
        <v>11</v>
      </c>
      <c r="D9" s="5" t="s">
        <v>12</v>
      </c>
      <c r="E9" s="7" t="s">
        <v>28</v>
      </c>
      <c r="F9" s="7"/>
      <c r="G9" s="7"/>
    </row>
    <row r="10" spans="1:7" ht="15" customHeight="1" x14ac:dyDescent="0.3">
      <c r="A10" s="5" t="s">
        <v>29</v>
      </c>
      <c r="B10" s="5" t="s">
        <v>30</v>
      </c>
      <c r="C10" s="6" t="s">
        <v>11</v>
      </c>
      <c r="D10" s="5" t="s">
        <v>12</v>
      </c>
      <c r="E10" s="7" t="s">
        <v>31</v>
      </c>
      <c r="F10" s="7"/>
      <c r="G10" s="7"/>
    </row>
    <row r="11" spans="1:7" ht="34.5" customHeight="1" x14ac:dyDescent="0.3">
      <c r="A11" s="5" t="s">
        <v>32</v>
      </c>
      <c r="B11" s="5" t="s">
        <v>33</v>
      </c>
      <c r="C11" s="6" t="s">
        <v>11</v>
      </c>
      <c r="D11" s="5" t="s">
        <v>12</v>
      </c>
      <c r="E11" s="7" t="s">
        <v>34</v>
      </c>
      <c r="F11" s="7" t="s">
        <v>35</v>
      </c>
      <c r="G11" s="7" t="s">
        <v>36</v>
      </c>
    </row>
    <row r="12" spans="1:7" ht="34.5" customHeight="1" x14ac:dyDescent="0.3">
      <c r="A12" s="5" t="s">
        <v>37</v>
      </c>
      <c r="B12" s="5" t="s">
        <v>38</v>
      </c>
      <c r="C12" s="6" t="s">
        <v>11</v>
      </c>
      <c r="D12" s="5" t="s">
        <v>12</v>
      </c>
      <c r="E12" s="7" t="s">
        <v>39</v>
      </c>
      <c r="F12" s="7" t="s">
        <v>40</v>
      </c>
      <c r="G12" s="7" t="s">
        <v>41</v>
      </c>
    </row>
    <row r="13" spans="1:7" ht="23.25" customHeight="1" x14ac:dyDescent="0.3">
      <c r="A13" s="5" t="s">
        <v>42</v>
      </c>
      <c r="B13" s="5" t="s">
        <v>43</v>
      </c>
      <c r="C13" s="6" t="s">
        <v>11</v>
      </c>
      <c r="D13" s="5" t="s">
        <v>44</v>
      </c>
      <c r="E13" s="7" t="s">
        <v>45</v>
      </c>
      <c r="F13" s="7" t="s">
        <v>46</v>
      </c>
      <c r="G13" s="7" t="s">
        <v>47</v>
      </c>
    </row>
    <row r="14" spans="1:7" ht="15" customHeight="1" x14ac:dyDescent="0.3">
      <c r="A14" s="5" t="s">
        <v>48</v>
      </c>
      <c r="B14" s="5" t="s">
        <v>49</v>
      </c>
      <c r="C14" s="6" t="s">
        <v>11</v>
      </c>
      <c r="D14" s="5" t="s">
        <v>12</v>
      </c>
      <c r="E14" s="7" t="s">
        <v>50</v>
      </c>
      <c r="F14" s="7"/>
      <c r="G14" s="7"/>
    </row>
    <row r="15" spans="1:7" ht="23.25" customHeight="1" x14ac:dyDescent="0.3">
      <c r="A15" s="5" t="s">
        <v>51</v>
      </c>
      <c r="B15" s="5" t="s">
        <v>52</v>
      </c>
      <c r="C15" s="8" t="s">
        <v>19</v>
      </c>
      <c r="D15" s="5" t="s">
        <v>12</v>
      </c>
      <c r="E15" s="7" t="s">
        <v>53</v>
      </c>
      <c r="F15" s="7" t="s">
        <v>54</v>
      </c>
      <c r="G15" s="7" t="s">
        <v>55</v>
      </c>
    </row>
    <row r="16" spans="1:7" ht="15" customHeight="1" x14ac:dyDescent="0.3">
      <c r="A16" s="5" t="s">
        <v>56</v>
      </c>
      <c r="B16" s="5" t="s">
        <v>57</v>
      </c>
      <c r="C16" s="6" t="s">
        <v>11</v>
      </c>
      <c r="D16" s="5" t="s">
        <v>12</v>
      </c>
      <c r="E16" s="7" t="s">
        <v>58</v>
      </c>
      <c r="F16" s="7"/>
      <c r="G16" s="7"/>
    </row>
    <row r="17" spans="1:7" ht="23.25" customHeight="1" x14ac:dyDescent="0.3">
      <c r="A17" s="5" t="s">
        <v>59</v>
      </c>
      <c r="B17" s="5" t="s">
        <v>60</v>
      </c>
      <c r="C17" s="6" t="s">
        <v>11</v>
      </c>
      <c r="D17" s="5" t="s">
        <v>12</v>
      </c>
      <c r="E17" s="7" t="s">
        <v>61</v>
      </c>
      <c r="F17" s="7" t="s">
        <v>62</v>
      </c>
      <c r="G17" s="7" t="s">
        <v>63</v>
      </c>
    </row>
    <row r="18" spans="1:7" ht="23.25" customHeight="1" x14ac:dyDescent="0.3">
      <c r="A18" s="5" t="s">
        <v>64</v>
      </c>
      <c r="B18" s="5" t="s">
        <v>65</v>
      </c>
      <c r="C18" s="9" t="s">
        <v>66</v>
      </c>
      <c r="D18" s="5" t="s">
        <v>67</v>
      </c>
      <c r="E18" s="7" t="s">
        <v>68</v>
      </c>
      <c r="F18" s="7" t="s">
        <v>69</v>
      </c>
      <c r="G18" s="7" t="s">
        <v>70</v>
      </c>
    </row>
    <row r="19" spans="1:7" ht="23.25" customHeight="1" x14ac:dyDescent="0.3">
      <c r="A19" s="5" t="s">
        <v>71</v>
      </c>
      <c r="B19" s="5" t="s">
        <v>72</v>
      </c>
      <c r="C19" s="6" t="s">
        <v>11</v>
      </c>
      <c r="D19" s="5" t="s">
        <v>12</v>
      </c>
      <c r="E19" s="7" t="s">
        <v>73</v>
      </c>
      <c r="F19" s="7" t="s">
        <v>74</v>
      </c>
      <c r="G19" s="7" t="s">
        <v>75</v>
      </c>
    </row>
    <row r="20" spans="1:7" ht="23.25" customHeight="1" x14ac:dyDescent="0.3">
      <c r="A20" s="5" t="s">
        <v>76</v>
      </c>
      <c r="B20" s="5" t="s">
        <v>77</v>
      </c>
      <c r="C20" s="6" t="s">
        <v>11</v>
      </c>
      <c r="D20" s="5" t="s">
        <v>12</v>
      </c>
      <c r="E20" s="7" t="s">
        <v>78</v>
      </c>
      <c r="F20" s="7" t="s">
        <v>79</v>
      </c>
      <c r="G20" s="7" t="s">
        <v>80</v>
      </c>
    </row>
    <row r="21" spans="1:7" ht="23.25" customHeight="1" x14ac:dyDescent="0.3">
      <c r="A21" s="5" t="s">
        <v>81</v>
      </c>
      <c r="B21" s="5" t="s">
        <v>82</v>
      </c>
      <c r="C21" s="8" t="s">
        <v>19</v>
      </c>
      <c r="D21" s="5" t="s">
        <v>83</v>
      </c>
      <c r="E21" s="7" t="s">
        <v>73</v>
      </c>
      <c r="F21" s="7" t="s">
        <v>84</v>
      </c>
      <c r="G21" s="7" t="s">
        <v>85</v>
      </c>
    </row>
    <row r="22" spans="1:7" ht="23.25" customHeight="1" x14ac:dyDescent="0.3">
      <c r="A22" s="5" t="s">
        <v>86</v>
      </c>
      <c r="B22" s="5" t="s">
        <v>87</v>
      </c>
      <c r="C22" s="6" t="s">
        <v>11</v>
      </c>
      <c r="D22" s="5" t="s">
        <v>12</v>
      </c>
      <c r="E22" s="7" t="s">
        <v>88</v>
      </c>
      <c r="F22" s="7" t="s">
        <v>89</v>
      </c>
      <c r="G22" s="7" t="s">
        <v>90</v>
      </c>
    </row>
    <row r="23" spans="1:7" ht="15" customHeight="1" x14ac:dyDescent="0.3">
      <c r="A23" s="5" t="s">
        <v>91</v>
      </c>
      <c r="B23" s="5" t="s">
        <v>92</v>
      </c>
      <c r="C23" s="6" t="s">
        <v>11</v>
      </c>
      <c r="D23" s="5" t="s">
        <v>12</v>
      </c>
      <c r="E23" s="7" t="s">
        <v>93</v>
      </c>
      <c r="F23" s="7"/>
      <c r="G23" s="7"/>
    </row>
    <row r="24" spans="1:7" ht="23.25" customHeight="1" x14ac:dyDescent="0.3">
      <c r="A24" s="5" t="s">
        <v>94</v>
      </c>
      <c r="B24" s="5" t="s">
        <v>95</v>
      </c>
      <c r="C24" s="8" t="s">
        <v>96</v>
      </c>
      <c r="D24" s="5" t="s">
        <v>12</v>
      </c>
      <c r="E24" s="7" t="s">
        <v>97</v>
      </c>
      <c r="F24" s="7" t="s">
        <v>98</v>
      </c>
      <c r="G24" s="7" t="s">
        <v>99</v>
      </c>
    </row>
    <row r="26" spans="1:7" ht="15" customHeight="1" x14ac:dyDescent="0.3">
      <c r="A26" s="10" t="s">
        <v>100</v>
      </c>
    </row>
    <row r="27" spans="1:7" ht="15" customHeight="1" x14ac:dyDescent="0.3">
      <c r="B27" s="5" t="s">
        <v>101</v>
      </c>
      <c r="C27" s="6" t="s">
        <v>102</v>
      </c>
    </row>
    <row r="28" spans="1:7" ht="15" customHeight="1" x14ac:dyDescent="0.3">
      <c r="B28" s="5" t="s">
        <v>103</v>
      </c>
      <c r="C28" s="8" t="s">
        <v>104</v>
      </c>
    </row>
    <row r="29" spans="1:7" ht="15" customHeight="1" x14ac:dyDescent="0.3">
      <c r="B29" s="5" t="s">
        <v>105</v>
      </c>
      <c r="C29" s="9" t="s">
        <v>106</v>
      </c>
    </row>
    <row r="30" spans="1:7" ht="15" customHeight="1" x14ac:dyDescent="0.3">
      <c r="B30" s="5" t="s">
        <v>107</v>
      </c>
      <c r="C30" s="5" t="s">
        <v>108</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5C"/>
  </sheetPr>
  <dimension ref="A1:AA156"/>
  <sheetViews>
    <sheetView zoomScaleNormal="100" workbookViewId="0">
      <pane ySplit="4" topLeftCell="A5" activePane="bottomLeft" state="frozen"/>
      <selection pane="bottomLeft" sqref="A1:AA1"/>
    </sheetView>
  </sheetViews>
  <sheetFormatPr defaultColWidth="8.6640625" defaultRowHeight="15" customHeight="1" x14ac:dyDescent="0.3"/>
  <cols>
    <col min="1" max="1" width="28" customWidth="1"/>
    <col min="2" max="2" width="22" customWidth="1"/>
    <col min="3" max="3" width="16" customWidth="1"/>
    <col min="4" max="5" width="14" customWidth="1"/>
    <col min="6" max="7" width="22" customWidth="1"/>
    <col min="8" max="27" width="5" customWidth="1"/>
  </cols>
  <sheetData>
    <row r="1" spans="1:27" ht="17.25" customHeight="1" x14ac:dyDescent="0.3">
      <c r="A1" s="2" t="s">
        <v>109</v>
      </c>
      <c r="B1" s="2"/>
      <c r="C1" s="2"/>
      <c r="D1" s="2"/>
      <c r="E1" s="2"/>
      <c r="F1" s="2"/>
      <c r="G1" s="2"/>
      <c r="H1" s="2"/>
      <c r="I1" s="2"/>
      <c r="J1" s="2"/>
      <c r="K1" s="2"/>
      <c r="L1" s="2"/>
      <c r="M1" s="2"/>
      <c r="N1" s="2"/>
      <c r="O1" s="2"/>
      <c r="P1" s="2"/>
      <c r="Q1" s="2"/>
      <c r="R1" s="2"/>
      <c r="S1" s="2"/>
      <c r="T1" s="2"/>
      <c r="U1" s="2"/>
      <c r="V1" s="2"/>
      <c r="W1" s="2"/>
      <c r="X1" s="2"/>
      <c r="Y1" s="2"/>
      <c r="Z1" s="2"/>
      <c r="AA1" s="2"/>
    </row>
    <row r="2" spans="1:27" ht="15" customHeight="1" x14ac:dyDescent="0.3">
      <c r="A2" s="1" t="s">
        <v>110</v>
      </c>
      <c r="B2" s="1"/>
      <c r="C2" s="1"/>
      <c r="D2" s="1"/>
      <c r="E2" s="1"/>
      <c r="F2" s="1"/>
      <c r="G2" s="1"/>
      <c r="H2" s="1"/>
      <c r="I2" s="1"/>
      <c r="J2" s="1"/>
      <c r="K2" s="1"/>
      <c r="L2" s="1"/>
      <c r="M2" s="1"/>
      <c r="N2" s="1"/>
      <c r="O2" s="1"/>
      <c r="P2" s="1"/>
      <c r="Q2" s="1"/>
      <c r="R2" s="1"/>
      <c r="S2" s="1"/>
      <c r="T2" s="1"/>
      <c r="U2" s="1"/>
      <c r="V2" s="1"/>
      <c r="W2" s="1"/>
      <c r="X2" s="1"/>
      <c r="Y2" s="1"/>
      <c r="Z2" s="1"/>
      <c r="AA2" s="1"/>
    </row>
    <row r="3" spans="1:27" ht="93" customHeight="1" x14ac:dyDescent="0.3">
      <c r="H3" s="11" t="s">
        <v>10</v>
      </c>
      <c r="I3" s="11" t="s">
        <v>111</v>
      </c>
      <c r="J3" s="11" t="s">
        <v>112</v>
      </c>
      <c r="K3" s="11" t="s">
        <v>113</v>
      </c>
      <c r="L3" s="11" t="s">
        <v>114</v>
      </c>
      <c r="M3" s="11" t="s">
        <v>115</v>
      </c>
      <c r="N3" s="11" t="s">
        <v>116</v>
      </c>
      <c r="O3" s="11" t="s">
        <v>117</v>
      </c>
      <c r="P3" s="11" t="s">
        <v>118</v>
      </c>
      <c r="Q3" s="11" t="s">
        <v>119</v>
      </c>
      <c r="R3" s="11" t="s">
        <v>120</v>
      </c>
      <c r="S3" s="11" t="s">
        <v>121</v>
      </c>
      <c r="T3" s="11" t="s">
        <v>122</v>
      </c>
      <c r="U3" s="11" t="s">
        <v>123</v>
      </c>
      <c r="V3" s="11" t="s">
        <v>72</v>
      </c>
      <c r="W3" s="11" t="s">
        <v>124</v>
      </c>
      <c r="X3" s="11" t="s">
        <v>125</v>
      </c>
      <c r="Y3" s="11" t="s">
        <v>126</v>
      </c>
      <c r="Z3" s="11" t="s">
        <v>127</v>
      </c>
      <c r="AA3" s="11" t="s">
        <v>128</v>
      </c>
    </row>
    <row r="4" spans="1:27" ht="39" customHeight="1" x14ac:dyDescent="0.3">
      <c r="A4" s="12" t="s">
        <v>129</v>
      </c>
      <c r="B4" s="12" t="s">
        <v>130</v>
      </c>
      <c r="C4" s="12" t="s">
        <v>131</v>
      </c>
      <c r="D4" s="12" t="s">
        <v>132</v>
      </c>
      <c r="E4" s="12" t="s">
        <v>133</v>
      </c>
      <c r="F4" s="12" t="s">
        <v>134</v>
      </c>
      <c r="G4" s="12" t="s">
        <v>135</v>
      </c>
      <c r="H4" s="12" t="s">
        <v>9</v>
      </c>
      <c r="I4" s="12" t="s">
        <v>14</v>
      </c>
      <c r="J4" s="12" t="s">
        <v>17</v>
      </c>
      <c r="K4" s="12" t="s">
        <v>23</v>
      </c>
      <c r="L4" s="12" t="s">
        <v>26</v>
      </c>
      <c r="M4" s="12" t="s">
        <v>29</v>
      </c>
      <c r="N4" s="12" t="s">
        <v>32</v>
      </c>
      <c r="O4" s="12" t="s">
        <v>37</v>
      </c>
      <c r="P4" s="12" t="s">
        <v>42</v>
      </c>
      <c r="Q4" s="12" t="s">
        <v>48</v>
      </c>
      <c r="R4" s="12" t="s">
        <v>51</v>
      </c>
      <c r="S4" s="12" t="s">
        <v>56</v>
      </c>
      <c r="T4" s="12" t="s">
        <v>59</v>
      </c>
      <c r="U4" s="12" t="s">
        <v>64</v>
      </c>
      <c r="V4" s="12" t="s">
        <v>71</v>
      </c>
      <c r="W4" s="12" t="s">
        <v>76</v>
      </c>
      <c r="X4" s="12" t="s">
        <v>81</v>
      </c>
      <c r="Y4" s="12" t="s">
        <v>86</v>
      </c>
      <c r="Z4" s="12" t="s">
        <v>91</v>
      </c>
      <c r="AA4" s="12" t="s">
        <v>94</v>
      </c>
    </row>
    <row r="5" spans="1:27" ht="15" customHeight="1" x14ac:dyDescent="0.3">
      <c r="A5" s="13" t="s">
        <v>136</v>
      </c>
      <c r="B5" s="5" t="s">
        <v>137</v>
      </c>
      <c r="C5" s="9" t="s">
        <v>138</v>
      </c>
      <c r="D5" s="5" t="s">
        <v>139</v>
      </c>
      <c r="E5" s="5">
        <v>4</v>
      </c>
      <c r="F5" s="5" t="s">
        <v>140</v>
      </c>
      <c r="G5" s="5"/>
      <c r="H5" s="14" t="s">
        <v>141</v>
      </c>
      <c r="I5" s="14" t="s">
        <v>141</v>
      </c>
      <c r="J5" s="15"/>
      <c r="K5" s="15"/>
      <c r="L5" s="15"/>
      <c r="M5" s="15"/>
      <c r="N5" s="15"/>
      <c r="O5" s="15"/>
      <c r="P5" s="15"/>
      <c r="Q5" s="15"/>
      <c r="R5" s="15"/>
      <c r="S5" s="15"/>
      <c r="T5" s="15"/>
      <c r="U5" s="15"/>
      <c r="V5" s="14" t="s">
        <v>141</v>
      </c>
      <c r="W5" s="15"/>
      <c r="X5" s="14" t="s">
        <v>141</v>
      </c>
      <c r="Y5" s="15"/>
      <c r="Z5" s="15"/>
      <c r="AA5" s="15"/>
    </row>
    <row r="6" spans="1:27" ht="15" customHeight="1" x14ac:dyDescent="0.3">
      <c r="A6" s="13" t="s">
        <v>142</v>
      </c>
      <c r="B6" s="5" t="s">
        <v>137</v>
      </c>
      <c r="C6" s="9" t="s">
        <v>138</v>
      </c>
      <c r="D6" s="5" t="s">
        <v>143</v>
      </c>
      <c r="E6" s="5">
        <v>4</v>
      </c>
      <c r="F6" s="5" t="s">
        <v>144</v>
      </c>
      <c r="G6" s="5" t="s">
        <v>9</v>
      </c>
      <c r="H6" s="16" t="s">
        <v>145</v>
      </c>
      <c r="I6" s="14" t="s">
        <v>141</v>
      </c>
      <c r="J6" s="15"/>
      <c r="K6" s="15"/>
      <c r="L6" s="15"/>
      <c r="M6" s="14" t="s">
        <v>141</v>
      </c>
      <c r="N6" s="15"/>
      <c r="O6" s="15"/>
      <c r="P6" s="15"/>
      <c r="Q6" s="14" t="s">
        <v>141</v>
      </c>
      <c r="R6" s="15"/>
      <c r="S6" s="15"/>
      <c r="T6" s="15"/>
      <c r="U6" s="15"/>
      <c r="V6" s="15"/>
      <c r="W6" s="15"/>
      <c r="X6" s="15"/>
      <c r="Y6" s="15"/>
      <c r="Z6" s="15"/>
      <c r="AA6" s="15"/>
    </row>
    <row r="7" spans="1:27" ht="15" customHeight="1" x14ac:dyDescent="0.3">
      <c r="A7" s="13" t="s">
        <v>146</v>
      </c>
      <c r="B7" s="5" t="s">
        <v>137</v>
      </c>
      <c r="C7" s="9" t="s">
        <v>138</v>
      </c>
      <c r="D7" s="5" t="s">
        <v>139</v>
      </c>
      <c r="E7" s="5">
        <v>8</v>
      </c>
      <c r="F7" s="5" t="s">
        <v>147</v>
      </c>
      <c r="G7" s="5" t="s">
        <v>71</v>
      </c>
      <c r="H7" s="14" t="s">
        <v>141</v>
      </c>
      <c r="I7" s="14" t="s">
        <v>141</v>
      </c>
      <c r="J7" s="15"/>
      <c r="K7" s="14" t="s">
        <v>141</v>
      </c>
      <c r="L7" s="15"/>
      <c r="M7" s="15"/>
      <c r="N7" s="15"/>
      <c r="O7" s="14" t="s">
        <v>141</v>
      </c>
      <c r="P7" s="15"/>
      <c r="Q7" s="15"/>
      <c r="R7" s="15"/>
      <c r="S7" s="14" t="s">
        <v>141</v>
      </c>
      <c r="T7" s="15"/>
      <c r="U7" s="14" t="s">
        <v>141</v>
      </c>
      <c r="V7" s="16" t="s">
        <v>145</v>
      </c>
      <c r="W7" s="15"/>
      <c r="X7" s="15"/>
      <c r="Y7" s="14" t="s">
        <v>141</v>
      </c>
      <c r="Z7" s="15"/>
      <c r="AA7" s="15"/>
    </row>
    <row r="8" spans="1:27" ht="15" customHeight="1" x14ac:dyDescent="0.3">
      <c r="A8" s="13" t="s">
        <v>148</v>
      </c>
      <c r="B8" s="5" t="s">
        <v>137</v>
      </c>
      <c r="C8" s="9" t="s">
        <v>138</v>
      </c>
      <c r="D8" s="5" t="s">
        <v>139</v>
      </c>
      <c r="E8" s="5">
        <v>14</v>
      </c>
      <c r="F8" s="5" t="s">
        <v>149</v>
      </c>
      <c r="G8" s="5"/>
      <c r="H8" s="14" t="s">
        <v>141</v>
      </c>
      <c r="I8" s="14" t="s">
        <v>141</v>
      </c>
      <c r="J8" s="14" t="s">
        <v>141</v>
      </c>
      <c r="K8" s="15"/>
      <c r="L8" s="14" t="s">
        <v>141</v>
      </c>
      <c r="M8" s="14" t="s">
        <v>141</v>
      </c>
      <c r="N8" s="15"/>
      <c r="O8" s="15"/>
      <c r="P8" s="14" t="s">
        <v>141</v>
      </c>
      <c r="Q8" s="14" t="s">
        <v>141</v>
      </c>
      <c r="R8" s="14" t="s">
        <v>141</v>
      </c>
      <c r="S8" s="14" t="s">
        <v>141</v>
      </c>
      <c r="T8" s="14" t="s">
        <v>141</v>
      </c>
      <c r="U8" s="15"/>
      <c r="V8" s="14" t="s">
        <v>141</v>
      </c>
      <c r="W8" s="14" t="s">
        <v>141</v>
      </c>
      <c r="X8" s="14" t="s">
        <v>141</v>
      </c>
      <c r="Y8" s="15"/>
      <c r="Z8" s="14" t="s">
        <v>141</v>
      </c>
      <c r="AA8" s="15"/>
    </row>
    <row r="9" spans="1:27" ht="15" customHeight="1" x14ac:dyDescent="0.3">
      <c r="A9" s="13" t="s">
        <v>150</v>
      </c>
      <c r="B9" s="5" t="s">
        <v>137</v>
      </c>
      <c r="C9" s="9" t="s">
        <v>138</v>
      </c>
      <c r="D9" s="5" t="s">
        <v>151</v>
      </c>
      <c r="E9" s="5">
        <v>2</v>
      </c>
      <c r="F9" s="5" t="s">
        <v>152</v>
      </c>
      <c r="G9" s="5"/>
      <c r="H9" s="15"/>
      <c r="I9" s="14" t="s">
        <v>141</v>
      </c>
      <c r="J9" s="15"/>
      <c r="K9" s="15"/>
      <c r="L9" s="15"/>
      <c r="M9" s="15"/>
      <c r="N9" s="15"/>
      <c r="O9" s="15"/>
      <c r="P9" s="15"/>
      <c r="Q9" s="14" t="s">
        <v>141</v>
      </c>
      <c r="R9" s="15"/>
      <c r="S9" s="15"/>
      <c r="T9" s="15"/>
      <c r="U9" s="15"/>
      <c r="V9" s="15"/>
      <c r="W9" s="15"/>
      <c r="X9" s="15"/>
      <c r="Y9" s="15"/>
      <c r="Z9" s="15"/>
      <c r="AA9" s="15"/>
    </row>
    <row r="10" spans="1:27" ht="15" customHeight="1" x14ac:dyDescent="0.3">
      <c r="A10" s="13" t="s">
        <v>153</v>
      </c>
      <c r="B10" s="5" t="s">
        <v>137</v>
      </c>
      <c r="C10" s="9" t="s">
        <v>138</v>
      </c>
      <c r="D10" s="5" t="s">
        <v>151</v>
      </c>
      <c r="E10" s="5">
        <v>5</v>
      </c>
      <c r="F10" s="5" t="s">
        <v>154</v>
      </c>
      <c r="G10" s="5"/>
      <c r="H10" s="14" t="s">
        <v>141</v>
      </c>
      <c r="I10" s="15"/>
      <c r="J10" s="15"/>
      <c r="K10" s="15"/>
      <c r="L10" s="14" t="s">
        <v>141</v>
      </c>
      <c r="M10" s="15"/>
      <c r="N10" s="15"/>
      <c r="O10" s="15"/>
      <c r="P10" s="15"/>
      <c r="Q10" s="14" t="s">
        <v>141</v>
      </c>
      <c r="R10" s="15"/>
      <c r="S10" s="15"/>
      <c r="T10" s="15"/>
      <c r="U10" s="15"/>
      <c r="V10" s="15"/>
      <c r="W10" s="15"/>
      <c r="X10" s="14" t="s">
        <v>141</v>
      </c>
      <c r="Y10" s="15"/>
      <c r="Z10" s="14" t="s">
        <v>141</v>
      </c>
      <c r="AA10" s="15"/>
    </row>
    <row r="11" spans="1:27" ht="15" customHeight="1" x14ac:dyDescent="0.3">
      <c r="A11" s="13" t="s">
        <v>155</v>
      </c>
      <c r="B11" s="5" t="s">
        <v>137</v>
      </c>
      <c r="C11" s="9" t="s">
        <v>138</v>
      </c>
      <c r="D11" s="5" t="s">
        <v>151</v>
      </c>
      <c r="E11" s="5">
        <v>1</v>
      </c>
      <c r="F11" s="5" t="s">
        <v>9</v>
      </c>
      <c r="G11" s="5"/>
      <c r="H11" s="14" t="s">
        <v>141</v>
      </c>
      <c r="I11" s="15"/>
      <c r="J11" s="15"/>
      <c r="K11" s="15"/>
      <c r="L11" s="15"/>
      <c r="M11" s="15"/>
      <c r="N11" s="15"/>
      <c r="O11" s="15"/>
      <c r="P11" s="15"/>
      <c r="Q11" s="15"/>
      <c r="R11" s="15"/>
      <c r="S11" s="15"/>
      <c r="T11" s="15"/>
      <c r="U11" s="15"/>
      <c r="V11" s="15"/>
      <c r="W11" s="15"/>
      <c r="X11" s="15"/>
      <c r="Y11" s="15"/>
      <c r="Z11" s="15"/>
      <c r="AA11" s="15"/>
    </row>
    <row r="12" spans="1:27" ht="15" customHeight="1" x14ac:dyDescent="0.3">
      <c r="A12" s="13" t="s">
        <v>156</v>
      </c>
      <c r="B12" s="5" t="s">
        <v>137</v>
      </c>
      <c r="C12" s="9" t="s">
        <v>138</v>
      </c>
      <c r="D12" s="5" t="s">
        <v>151</v>
      </c>
      <c r="E12" s="5">
        <v>1</v>
      </c>
      <c r="F12" s="5" t="s">
        <v>51</v>
      </c>
      <c r="G12" s="5"/>
      <c r="H12" s="15"/>
      <c r="I12" s="15"/>
      <c r="J12" s="15"/>
      <c r="K12" s="15"/>
      <c r="L12" s="15"/>
      <c r="M12" s="15"/>
      <c r="N12" s="15"/>
      <c r="O12" s="15"/>
      <c r="P12" s="15"/>
      <c r="Q12" s="15"/>
      <c r="R12" s="14" t="s">
        <v>141</v>
      </c>
      <c r="S12" s="15"/>
      <c r="T12" s="15"/>
      <c r="U12" s="15"/>
      <c r="V12" s="15"/>
      <c r="W12" s="15"/>
      <c r="X12" s="15"/>
      <c r="Y12" s="15"/>
      <c r="Z12" s="15"/>
      <c r="AA12" s="15"/>
    </row>
    <row r="13" spans="1:27" ht="15" customHeight="1" x14ac:dyDescent="0.3">
      <c r="A13" s="13" t="s">
        <v>157</v>
      </c>
      <c r="B13" s="5" t="s">
        <v>137</v>
      </c>
      <c r="C13" s="8" t="s">
        <v>158</v>
      </c>
      <c r="D13" s="5" t="s">
        <v>151</v>
      </c>
      <c r="E13" s="5">
        <v>2</v>
      </c>
      <c r="F13" s="5" t="s">
        <v>51</v>
      </c>
      <c r="G13" s="5" t="s">
        <v>48</v>
      </c>
      <c r="H13" s="15"/>
      <c r="I13" s="15"/>
      <c r="J13" s="15"/>
      <c r="K13" s="15"/>
      <c r="L13" s="15"/>
      <c r="M13" s="15"/>
      <c r="N13" s="15"/>
      <c r="O13" s="15"/>
      <c r="P13" s="15"/>
      <c r="Q13" s="16" t="s">
        <v>145</v>
      </c>
      <c r="R13" s="14" t="s">
        <v>141</v>
      </c>
      <c r="S13" s="15"/>
      <c r="T13" s="15"/>
      <c r="U13" s="15"/>
      <c r="V13" s="15"/>
      <c r="W13" s="15"/>
      <c r="X13" s="15"/>
      <c r="Y13" s="15"/>
      <c r="Z13" s="15"/>
      <c r="AA13" s="15"/>
    </row>
    <row r="14" spans="1:27" ht="15" customHeight="1" x14ac:dyDescent="0.3">
      <c r="A14" s="13" t="s">
        <v>159</v>
      </c>
      <c r="B14" s="5" t="s">
        <v>137</v>
      </c>
      <c r="C14" s="8" t="s">
        <v>158</v>
      </c>
      <c r="D14" s="5" t="s">
        <v>151</v>
      </c>
      <c r="E14" s="5">
        <v>1</v>
      </c>
      <c r="F14" s="5" t="s">
        <v>9</v>
      </c>
      <c r="G14" s="5"/>
      <c r="H14" s="14" t="s">
        <v>141</v>
      </c>
      <c r="I14" s="15"/>
      <c r="J14" s="15"/>
      <c r="K14" s="15"/>
      <c r="L14" s="15"/>
      <c r="M14" s="15"/>
      <c r="N14" s="15"/>
      <c r="O14" s="15"/>
      <c r="P14" s="15"/>
      <c r="Q14" s="15"/>
      <c r="R14" s="15"/>
      <c r="S14" s="15"/>
      <c r="T14" s="15"/>
      <c r="U14" s="15"/>
      <c r="V14" s="15"/>
      <c r="W14" s="15"/>
      <c r="X14" s="15"/>
      <c r="Y14" s="15"/>
      <c r="Z14" s="15"/>
      <c r="AA14" s="15"/>
    </row>
    <row r="15" spans="1:27" ht="15" customHeight="1" x14ac:dyDescent="0.3">
      <c r="A15" s="13" t="s">
        <v>160</v>
      </c>
      <c r="B15" s="5" t="s">
        <v>137</v>
      </c>
      <c r="C15" s="8" t="s">
        <v>158</v>
      </c>
      <c r="D15" s="5" t="s">
        <v>151</v>
      </c>
      <c r="E15" s="5">
        <v>1</v>
      </c>
      <c r="F15" s="5" t="s">
        <v>9</v>
      </c>
      <c r="G15" s="5"/>
      <c r="H15" s="14" t="s">
        <v>141</v>
      </c>
      <c r="I15" s="15"/>
      <c r="J15" s="15"/>
      <c r="K15" s="15"/>
      <c r="L15" s="15"/>
      <c r="M15" s="15"/>
      <c r="N15" s="15"/>
      <c r="O15" s="15"/>
      <c r="P15" s="15"/>
      <c r="Q15" s="15"/>
      <c r="R15" s="15"/>
      <c r="S15" s="15"/>
      <c r="T15" s="15"/>
      <c r="U15" s="15"/>
      <c r="V15" s="15"/>
      <c r="W15" s="15"/>
      <c r="X15" s="15"/>
      <c r="Y15" s="15"/>
      <c r="Z15" s="15"/>
      <c r="AA15" s="15"/>
    </row>
    <row r="16" spans="1:27" ht="15" customHeight="1" x14ac:dyDescent="0.3">
      <c r="A16" s="13" t="s">
        <v>161</v>
      </c>
      <c r="B16" s="5" t="s">
        <v>137</v>
      </c>
      <c r="C16" s="8" t="s">
        <v>158</v>
      </c>
      <c r="D16" s="5" t="s">
        <v>151</v>
      </c>
      <c r="E16" s="5">
        <v>1</v>
      </c>
      <c r="F16" s="5" t="s">
        <v>9</v>
      </c>
      <c r="G16" s="5"/>
      <c r="H16" s="14" t="s">
        <v>141</v>
      </c>
      <c r="I16" s="15"/>
      <c r="J16" s="15"/>
      <c r="K16" s="15"/>
      <c r="L16" s="15"/>
      <c r="M16" s="15"/>
      <c r="N16" s="15"/>
      <c r="O16" s="15"/>
      <c r="P16" s="15"/>
      <c r="Q16" s="15"/>
      <c r="R16" s="15"/>
      <c r="S16" s="15"/>
      <c r="T16" s="15"/>
      <c r="U16" s="15"/>
      <c r="V16" s="15"/>
      <c r="W16" s="15"/>
      <c r="X16" s="15"/>
      <c r="Y16" s="15"/>
      <c r="Z16" s="15"/>
      <c r="AA16" s="15"/>
    </row>
    <row r="17" spans="1:27" ht="15" customHeight="1" x14ac:dyDescent="0.3">
      <c r="A17" s="13" t="s">
        <v>162</v>
      </c>
      <c r="B17" s="5" t="s">
        <v>137</v>
      </c>
      <c r="C17" s="8" t="s">
        <v>158</v>
      </c>
      <c r="D17" s="5" t="s">
        <v>151</v>
      </c>
      <c r="E17" s="5">
        <v>1</v>
      </c>
      <c r="F17" s="5"/>
      <c r="G17" s="5" t="s">
        <v>9</v>
      </c>
      <c r="H17" s="16" t="s">
        <v>145</v>
      </c>
      <c r="I17" s="15"/>
      <c r="J17" s="15"/>
      <c r="K17" s="15"/>
      <c r="L17" s="15"/>
      <c r="M17" s="15"/>
      <c r="N17" s="15"/>
      <c r="O17" s="15"/>
      <c r="P17" s="15"/>
      <c r="Q17" s="15"/>
      <c r="R17" s="15"/>
      <c r="S17" s="15"/>
      <c r="T17" s="15"/>
      <c r="U17" s="15"/>
      <c r="V17" s="15"/>
      <c r="W17" s="15"/>
      <c r="X17" s="15"/>
      <c r="Y17" s="15"/>
      <c r="Z17" s="15"/>
      <c r="AA17" s="15"/>
    </row>
    <row r="18" spans="1:27" ht="15" customHeight="1" x14ac:dyDescent="0.3">
      <c r="A18" s="13" t="s">
        <v>163</v>
      </c>
      <c r="B18" s="5" t="s">
        <v>137</v>
      </c>
      <c r="C18" s="8" t="s">
        <v>158</v>
      </c>
      <c r="D18" s="5" t="s">
        <v>151</v>
      </c>
      <c r="E18" s="5">
        <v>1</v>
      </c>
      <c r="F18" s="5"/>
      <c r="G18" s="5" t="s">
        <v>9</v>
      </c>
      <c r="H18" s="16" t="s">
        <v>145</v>
      </c>
      <c r="I18" s="15"/>
      <c r="J18" s="15"/>
      <c r="K18" s="15"/>
      <c r="L18" s="15"/>
      <c r="M18" s="15"/>
      <c r="N18" s="15"/>
      <c r="O18" s="15"/>
      <c r="P18" s="15"/>
      <c r="Q18" s="15"/>
      <c r="R18" s="15"/>
      <c r="S18" s="15"/>
      <c r="T18" s="15"/>
      <c r="U18" s="15"/>
      <c r="V18" s="15"/>
      <c r="W18" s="15"/>
      <c r="X18" s="15"/>
      <c r="Y18" s="15"/>
      <c r="Z18" s="15"/>
      <c r="AA18" s="15"/>
    </row>
    <row r="19" spans="1:27" ht="15" customHeight="1" x14ac:dyDescent="0.3">
      <c r="A19" s="13" t="s">
        <v>164</v>
      </c>
      <c r="B19" s="5" t="s">
        <v>137</v>
      </c>
      <c r="C19" s="6" t="s">
        <v>165</v>
      </c>
      <c r="D19" s="5" t="s">
        <v>151</v>
      </c>
      <c r="E19" s="5">
        <v>1</v>
      </c>
      <c r="F19" s="5"/>
      <c r="G19" s="5" t="s">
        <v>9</v>
      </c>
      <c r="H19" s="16" t="s">
        <v>145</v>
      </c>
      <c r="I19" s="15"/>
      <c r="J19" s="15"/>
      <c r="K19" s="15"/>
      <c r="L19" s="15"/>
      <c r="M19" s="15"/>
      <c r="N19" s="15"/>
      <c r="O19" s="15"/>
      <c r="P19" s="15"/>
      <c r="Q19" s="15"/>
      <c r="R19" s="15"/>
      <c r="S19" s="15"/>
      <c r="T19" s="15"/>
      <c r="U19" s="15"/>
      <c r="V19" s="15"/>
      <c r="W19" s="15"/>
      <c r="X19" s="15"/>
      <c r="Y19" s="15"/>
      <c r="Z19" s="15"/>
      <c r="AA19" s="15"/>
    </row>
    <row r="20" spans="1:27" ht="15" customHeight="1" x14ac:dyDescent="0.3">
      <c r="A20" s="13" t="s">
        <v>166</v>
      </c>
      <c r="B20" s="5" t="s">
        <v>137</v>
      </c>
      <c r="C20" s="6" t="s">
        <v>165</v>
      </c>
      <c r="D20" s="5" t="s">
        <v>151</v>
      </c>
      <c r="E20" s="5">
        <v>0</v>
      </c>
      <c r="F20" s="5"/>
      <c r="G20" s="5"/>
      <c r="H20" s="15"/>
      <c r="I20" s="15"/>
      <c r="J20" s="15"/>
      <c r="K20" s="15"/>
      <c r="L20" s="15"/>
      <c r="M20" s="15"/>
      <c r="N20" s="15"/>
      <c r="O20" s="15"/>
      <c r="P20" s="15"/>
      <c r="Q20" s="15"/>
      <c r="R20" s="15"/>
      <c r="S20" s="15"/>
      <c r="T20" s="15"/>
      <c r="U20" s="15"/>
      <c r="V20" s="15"/>
      <c r="W20" s="15"/>
      <c r="X20" s="15"/>
      <c r="Y20" s="15"/>
      <c r="Z20" s="15"/>
      <c r="AA20" s="15"/>
    </row>
    <row r="21" spans="1:27" ht="15" customHeight="1" x14ac:dyDescent="0.3">
      <c r="A21" s="13" t="s">
        <v>167</v>
      </c>
      <c r="B21" s="5" t="s">
        <v>137</v>
      </c>
      <c r="C21" s="8" t="s">
        <v>158</v>
      </c>
      <c r="D21" s="5" t="s">
        <v>139</v>
      </c>
      <c r="E21" s="5">
        <v>1</v>
      </c>
      <c r="F21" s="5"/>
      <c r="G21" s="5" t="s">
        <v>14</v>
      </c>
      <c r="H21" s="15"/>
      <c r="I21" s="16" t="s">
        <v>145</v>
      </c>
      <c r="J21" s="15"/>
      <c r="K21" s="15"/>
      <c r="L21" s="15"/>
      <c r="M21" s="15"/>
      <c r="N21" s="15"/>
      <c r="O21" s="15"/>
      <c r="P21" s="15"/>
      <c r="Q21" s="15"/>
      <c r="R21" s="15"/>
      <c r="S21" s="15"/>
      <c r="T21" s="15"/>
      <c r="U21" s="15"/>
      <c r="V21" s="15"/>
      <c r="W21" s="15"/>
      <c r="X21" s="15"/>
      <c r="Y21" s="15"/>
      <c r="Z21" s="15"/>
      <c r="AA21" s="15"/>
    </row>
    <row r="22" spans="1:27" ht="15" customHeight="1" x14ac:dyDescent="0.3">
      <c r="A22" s="13" t="s">
        <v>168</v>
      </c>
      <c r="B22" s="5" t="s">
        <v>137</v>
      </c>
      <c r="C22" s="8" t="s">
        <v>158</v>
      </c>
      <c r="D22" s="5" t="s">
        <v>139</v>
      </c>
      <c r="E22" s="5">
        <v>5</v>
      </c>
      <c r="F22" s="5" t="s">
        <v>169</v>
      </c>
      <c r="G22" s="5" t="s">
        <v>170</v>
      </c>
      <c r="H22" s="16" t="s">
        <v>145</v>
      </c>
      <c r="I22" s="16" t="s">
        <v>145</v>
      </c>
      <c r="J22" s="15"/>
      <c r="K22" s="15"/>
      <c r="L22" s="14" t="s">
        <v>141</v>
      </c>
      <c r="M22" s="15"/>
      <c r="N22" s="14" t="s">
        <v>141</v>
      </c>
      <c r="O22" s="15"/>
      <c r="P22" s="15"/>
      <c r="Q22" s="15"/>
      <c r="R22" s="15"/>
      <c r="S22" s="15"/>
      <c r="T22" s="15"/>
      <c r="U22" s="15"/>
      <c r="V22" s="15"/>
      <c r="W22" s="15"/>
      <c r="X22" s="15"/>
      <c r="Y22" s="15"/>
      <c r="Z22" s="14" t="s">
        <v>141</v>
      </c>
      <c r="AA22" s="15"/>
    </row>
    <row r="23" spans="1:27" ht="15" customHeight="1" x14ac:dyDescent="0.3">
      <c r="A23" s="13" t="s">
        <v>171</v>
      </c>
      <c r="B23" s="5" t="s">
        <v>137</v>
      </c>
      <c r="C23" s="8" t="s">
        <v>158</v>
      </c>
      <c r="D23" s="5" t="s">
        <v>139</v>
      </c>
      <c r="E23" s="5">
        <v>2</v>
      </c>
      <c r="F23" s="5" t="s">
        <v>81</v>
      </c>
      <c r="G23" s="5" t="s">
        <v>14</v>
      </c>
      <c r="H23" s="15"/>
      <c r="I23" s="16" t="s">
        <v>145</v>
      </c>
      <c r="J23" s="15"/>
      <c r="K23" s="15"/>
      <c r="L23" s="15"/>
      <c r="M23" s="15"/>
      <c r="N23" s="15"/>
      <c r="O23" s="15"/>
      <c r="P23" s="15"/>
      <c r="Q23" s="15"/>
      <c r="R23" s="15"/>
      <c r="S23" s="15"/>
      <c r="T23" s="15"/>
      <c r="U23" s="15"/>
      <c r="V23" s="15"/>
      <c r="W23" s="15"/>
      <c r="X23" s="14" t="s">
        <v>141</v>
      </c>
      <c r="Y23" s="15"/>
      <c r="Z23" s="15"/>
      <c r="AA23" s="15"/>
    </row>
    <row r="24" spans="1:27" ht="15" customHeight="1" x14ac:dyDescent="0.3">
      <c r="A24" s="13" t="s">
        <v>172</v>
      </c>
      <c r="B24" s="5" t="s">
        <v>137</v>
      </c>
      <c r="C24" s="8" t="s">
        <v>158</v>
      </c>
      <c r="D24" s="5" t="s">
        <v>139</v>
      </c>
      <c r="E24" s="5">
        <v>1</v>
      </c>
      <c r="F24" s="5" t="s">
        <v>81</v>
      </c>
      <c r="G24" s="5"/>
      <c r="H24" s="15"/>
      <c r="I24" s="15"/>
      <c r="J24" s="15"/>
      <c r="K24" s="15"/>
      <c r="L24" s="15"/>
      <c r="M24" s="15"/>
      <c r="N24" s="15"/>
      <c r="O24" s="15"/>
      <c r="P24" s="15"/>
      <c r="Q24" s="15"/>
      <c r="R24" s="15"/>
      <c r="S24" s="15"/>
      <c r="T24" s="15"/>
      <c r="U24" s="15"/>
      <c r="V24" s="15"/>
      <c r="W24" s="15"/>
      <c r="X24" s="14" t="s">
        <v>141</v>
      </c>
      <c r="Y24" s="15"/>
      <c r="Z24" s="15"/>
      <c r="AA24" s="15"/>
    </row>
    <row r="25" spans="1:27" ht="15" customHeight="1" x14ac:dyDescent="0.3">
      <c r="A25" s="13" t="s">
        <v>84</v>
      </c>
      <c r="B25" s="5" t="s">
        <v>137</v>
      </c>
      <c r="C25" s="6" t="s">
        <v>165</v>
      </c>
      <c r="D25" s="5" t="s">
        <v>151</v>
      </c>
      <c r="E25" s="5">
        <v>1</v>
      </c>
      <c r="F25" s="5" t="s">
        <v>81</v>
      </c>
      <c r="G25" s="5"/>
      <c r="H25" s="15"/>
      <c r="I25" s="15"/>
      <c r="J25" s="15"/>
      <c r="K25" s="15"/>
      <c r="L25" s="15"/>
      <c r="M25" s="15"/>
      <c r="N25" s="15"/>
      <c r="O25" s="15"/>
      <c r="P25" s="15"/>
      <c r="Q25" s="15"/>
      <c r="R25" s="15"/>
      <c r="S25" s="15"/>
      <c r="T25" s="15"/>
      <c r="U25" s="15"/>
      <c r="V25" s="15"/>
      <c r="W25" s="15"/>
      <c r="X25" s="14" t="s">
        <v>141</v>
      </c>
      <c r="Y25" s="15"/>
      <c r="Z25" s="15"/>
      <c r="AA25" s="15"/>
    </row>
    <row r="26" spans="1:27" ht="15" customHeight="1" x14ac:dyDescent="0.3">
      <c r="A26" s="13" t="s">
        <v>173</v>
      </c>
      <c r="B26" s="5" t="s">
        <v>137</v>
      </c>
      <c r="C26" s="8" t="s">
        <v>158</v>
      </c>
      <c r="D26" s="5" t="s">
        <v>174</v>
      </c>
      <c r="E26" s="5">
        <v>1</v>
      </c>
      <c r="F26" s="5"/>
      <c r="G26" s="5" t="s">
        <v>29</v>
      </c>
      <c r="H26" s="15"/>
      <c r="I26" s="15"/>
      <c r="J26" s="15"/>
      <c r="K26" s="15"/>
      <c r="L26" s="15"/>
      <c r="M26" s="16" t="s">
        <v>145</v>
      </c>
      <c r="N26" s="15"/>
      <c r="O26" s="15"/>
      <c r="P26" s="15"/>
      <c r="Q26" s="15"/>
      <c r="R26" s="15"/>
      <c r="S26" s="15"/>
      <c r="T26" s="15"/>
      <c r="U26" s="15"/>
      <c r="V26" s="15"/>
      <c r="W26" s="15"/>
      <c r="X26" s="15"/>
      <c r="Y26" s="15"/>
      <c r="Z26" s="15"/>
      <c r="AA26" s="15"/>
    </row>
    <row r="27" spans="1:27" ht="15" customHeight="1" x14ac:dyDescent="0.3">
      <c r="A27" s="13" t="s">
        <v>175</v>
      </c>
      <c r="B27" s="5" t="s">
        <v>137</v>
      </c>
      <c r="C27" s="6" t="s">
        <v>165</v>
      </c>
      <c r="D27" s="5" t="s">
        <v>139</v>
      </c>
      <c r="E27" s="5">
        <v>1</v>
      </c>
      <c r="F27" s="5" t="s">
        <v>59</v>
      </c>
      <c r="G27" s="5"/>
      <c r="H27" s="15"/>
      <c r="I27" s="15"/>
      <c r="J27" s="15"/>
      <c r="K27" s="15"/>
      <c r="L27" s="15"/>
      <c r="M27" s="15"/>
      <c r="N27" s="15"/>
      <c r="O27" s="15"/>
      <c r="P27" s="15"/>
      <c r="Q27" s="15"/>
      <c r="R27" s="15"/>
      <c r="S27" s="15"/>
      <c r="T27" s="14" t="s">
        <v>141</v>
      </c>
      <c r="U27" s="15"/>
      <c r="V27" s="15"/>
      <c r="W27" s="15"/>
      <c r="X27" s="15"/>
      <c r="Y27" s="15"/>
      <c r="Z27" s="15"/>
      <c r="AA27" s="15"/>
    </row>
    <row r="28" spans="1:27" ht="15" customHeight="1" x14ac:dyDescent="0.3">
      <c r="A28" s="13" t="s">
        <v>176</v>
      </c>
      <c r="B28" s="5" t="s">
        <v>137</v>
      </c>
      <c r="C28" s="8" t="s">
        <v>158</v>
      </c>
      <c r="D28" s="5" t="s">
        <v>139</v>
      </c>
      <c r="E28" s="5">
        <v>1</v>
      </c>
      <c r="F28" s="5" t="s">
        <v>37</v>
      </c>
      <c r="G28" s="5"/>
      <c r="H28" s="15"/>
      <c r="I28" s="15"/>
      <c r="J28" s="15"/>
      <c r="K28" s="15"/>
      <c r="L28" s="15"/>
      <c r="M28" s="15"/>
      <c r="N28" s="15"/>
      <c r="O28" s="14" t="s">
        <v>141</v>
      </c>
      <c r="P28" s="15"/>
      <c r="Q28" s="15"/>
      <c r="R28" s="15"/>
      <c r="S28" s="15"/>
      <c r="T28" s="15"/>
      <c r="U28" s="15"/>
      <c r="V28" s="15"/>
      <c r="W28" s="15"/>
      <c r="X28" s="15"/>
      <c r="Y28" s="15"/>
      <c r="Z28" s="15"/>
      <c r="AA28" s="15"/>
    </row>
    <row r="29" spans="1:27" ht="15" customHeight="1" x14ac:dyDescent="0.3">
      <c r="A29" s="13" t="s">
        <v>146</v>
      </c>
      <c r="B29" s="5" t="s">
        <v>177</v>
      </c>
      <c r="C29" s="9" t="s">
        <v>138</v>
      </c>
      <c r="D29" s="5" t="s">
        <v>139</v>
      </c>
      <c r="E29" s="5">
        <v>8</v>
      </c>
      <c r="F29" s="5" t="s">
        <v>147</v>
      </c>
      <c r="G29" s="5" t="s">
        <v>71</v>
      </c>
      <c r="H29" s="14" t="s">
        <v>141</v>
      </c>
      <c r="I29" s="14" t="s">
        <v>141</v>
      </c>
      <c r="J29" s="15"/>
      <c r="K29" s="14" t="s">
        <v>141</v>
      </c>
      <c r="L29" s="15"/>
      <c r="M29" s="15"/>
      <c r="N29" s="15"/>
      <c r="O29" s="14" t="s">
        <v>141</v>
      </c>
      <c r="P29" s="15"/>
      <c r="Q29" s="15"/>
      <c r="R29" s="15"/>
      <c r="S29" s="14" t="s">
        <v>141</v>
      </c>
      <c r="T29" s="15"/>
      <c r="U29" s="14" t="s">
        <v>141</v>
      </c>
      <c r="V29" s="16" t="s">
        <v>145</v>
      </c>
      <c r="W29" s="15"/>
      <c r="X29" s="15"/>
      <c r="Y29" s="14" t="s">
        <v>141</v>
      </c>
      <c r="Z29" s="15"/>
      <c r="AA29" s="15"/>
    </row>
    <row r="30" spans="1:27" ht="15" customHeight="1" x14ac:dyDescent="0.3">
      <c r="A30" s="13" t="s">
        <v>178</v>
      </c>
      <c r="B30" s="5" t="s">
        <v>177</v>
      </c>
      <c r="C30" s="9" t="s">
        <v>138</v>
      </c>
      <c r="D30" s="5" t="s">
        <v>139</v>
      </c>
      <c r="E30" s="5">
        <v>0</v>
      </c>
      <c r="F30" s="5"/>
      <c r="G30" s="5"/>
      <c r="H30" s="15"/>
      <c r="I30" s="15"/>
      <c r="J30" s="15"/>
      <c r="K30" s="15"/>
      <c r="L30" s="15"/>
      <c r="M30" s="15"/>
      <c r="N30" s="15"/>
      <c r="O30" s="15"/>
      <c r="P30" s="15"/>
      <c r="Q30" s="15"/>
      <c r="R30" s="15"/>
      <c r="S30" s="15"/>
      <c r="T30" s="15"/>
      <c r="U30" s="15"/>
      <c r="V30" s="15"/>
      <c r="W30" s="15"/>
      <c r="X30" s="15"/>
      <c r="Y30" s="15"/>
      <c r="Z30" s="15"/>
      <c r="AA30" s="15"/>
    </row>
    <row r="31" spans="1:27" ht="15" customHeight="1" x14ac:dyDescent="0.3">
      <c r="A31" s="13" t="s">
        <v>179</v>
      </c>
      <c r="B31" s="5" t="s">
        <v>177</v>
      </c>
      <c r="C31" s="9" t="s">
        <v>138</v>
      </c>
      <c r="D31" s="5" t="s">
        <v>139</v>
      </c>
      <c r="E31" s="5">
        <v>13</v>
      </c>
      <c r="F31" s="5" t="s">
        <v>180</v>
      </c>
      <c r="G31" s="5" t="s">
        <v>181</v>
      </c>
      <c r="H31" s="16" t="s">
        <v>145</v>
      </c>
      <c r="I31" s="14" t="s">
        <v>141</v>
      </c>
      <c r="J31" s="16" t="s">
        <v>145</v>
      </c>
      <c r="K31" s="16" t="s">
        <v>145</v>
      </c>
      <c r="L31" s="14" t="s">
        <v>141</v>
      </c>
      <c r="M31" s="14" t="s">
        <v>141</v>
      </c>
      <c r="N31" s="16" t="s">
        <v>145</v>
      </c>
      <c r="O31" s="15"/>
      <c r="P31" s="15"/>
      <c r="Q31" s="16" t="s">
        <v>145</v>
      </c>
      <c r="R31" s="15"/>
      <c r="S31" s="14" t="s">
        <v>141</v>
      </c>
      <c r="T31" s="15"/>
      <c r="U31" s="16" t="s">
        <v>145</v>
      </c>
      <c r="V31" s="16" t="s">
        <v>145</v>
      </c>
      <c r="W31" s="15"/>
      <c r="X31" s="16" t="s">
        <v>145</v>
      </c>
      <c r="Y31" s="15"/>
      <c r="Z31" s="14" t="s">
        <v>141</v>
      </c>
      <c r="AA31" s="15"/>
    </row>
    <row r="32" spans="1:27" ht="15" customHeight="1" x14ac:dyDescent="0.3">
      <c r="A32" s="13" t="s">
        <v>182</v>
      </c>
      <c r="B32" s="5" t="s">
        <v>177</v>
      </c>
      <c r="C32" s="8" t="s">
        <v>158</v>
      </c>
      <c r="D32" s="5" t="s">
        <v>139</v>
      </c>
      <c r="E32" s="5">
        <v>1</v>
      </c>
      <c r="F32" s="5"/>
      <c r="G32" s="5" t="s">
        <v>56</v>
      </c>
      <c r="H32" s="15"/>
      <c r="I32" s="15"/>
      <c r="J32" s="15"/>
      <c r="K32" s="15"/>
      <c r="L32" s="15"/>
      <c r="M32" s="15"/>
      <c r="N32" s="15"/>
      <c r="O32" s="15"/>
      <c r="P32" s="15"/>
      <c r="Q32" s="15"/>
      <c r="R32" s="15"/>
      <c r="S32" s="16" t="s">
        <v>145</v>
      </c>
      <c r="T32" s="15"/>
      <c r="U32" s="15"/>
      <c r="V32" s="15"/>
      <c r="W32" s="15"/>
      <c r="X32" s="15"/>
      <c r="Y32" s="15"/>
      <c r="Z32" s="15"/>
      <c r="AA32" s="15"/>
    </row>
    <row r="33" spans="1:27" ht="15" customHeight="1" x14ac:dyDescent="0.3">
      <c r="A33" s="13" t="s">
        <v>183</v>
      </c>
      <c r="B33" s="5" t="s">
        <v>177</v>
      </c>
      <c r="C33" s="8" t="s">
        <v>158</v>
      </c>
      <c r="D33" s="5" t="s">
        <v>139</v>
      </c>
      <c r="E33" s="5">
        <v>0</v>
      </c>
      <c r="F33" s="5"/>
      <c r="G33" s="5"/>
      <c r="H33" s="15"/>
      <c r="I33" s="15"/>
      <c r="J33" s="15"/>
      <c r="K33" s="15"/>
      <c r="L33" s="15"/>
      <c r="M33" s="15"/>
      <c r="N33" s="15"/>
      <c r="O33" s="15"/>
      <c r="P33" s="15"/>
      <c r="Q33" s="15"/>
      <c r="R33" s="15"/>
      <c r="S33" s="15"/>
      <c r="T33" s="15"/>
      <c r="U33" s="15"/>
      <c r="V33" s="15"/>
      <c r="W33" s="15"/>
      <c r="X33" s="15"/>
      <c r="Y33" s="15"/>
      <c r="Z33" s="15"/>
      <c r="AA33" s="15"/>
    </row>
    <row r="34" spans="1:27" ht="15" customHeight="1" x14ac:dyDescent="0.3">
      <c r="A34" s="13" t="s">
        <v>184</v>
      </c>
      <c r="B34" s="5" t="s">
        <v>177</v>
      </c>
      <c r="C34" s="8" t="s">
        <v>158</v>
      </c>
      <c r="D34" s="5" t="s">
        <v>143</v>
      </c>
      <c r="E34" s="5">
        <v>0</v>
      </c>
      <c r="F34" s="5"/>
      <c r="G34" s="5"/>
      <c r="H34" s="15"/>
      <c r="I34" s="15"/>
      <c r="J34" s="15"/>
      <c r="K34" s="15"/>
      <c r="L34" s="15"/>
      <c r="M34" s="15"/>
      <c r="N34" s="15"/>
      <c r="O34" s="15"/>
      <c r="P34" s="15"/>
      <c r="Q34" s="15"/>
      <c r="R34" s="15"/>
      <c r="S34" s="15"/>
      <c r="T34" s="15"/>
      <c r="U34" s="15"/>
      <c r="V34" s="15"/>
      <c r="W34" s="15"/>
      <c r="X34" s="15"/>
      <c r="Y34" s="15"/>
      <c r="Z34" s="15"/>
      <c r="AA34" s="15"/>
    </row>
    <row r="35" spans="1:27" ht="15" customHeight="1" x14ac:dyDescent="0.3">
      <c r="A35" s="13" t="s">
        <v>185</v>
      </c>
      <c r="B35" s="5" t="s">
        <v>177</v>
      </c>
      <c r="C35" s="8" t="s">
        <v>158</v>
      </c>
      <c r="D35" s="5" t="s">
        <v>139</v>
      </c>
      <c r="E35" s="5">
        <v>0</v>
      </c>
      <c r="F35" s="5"/>
      <c r="G35" s="5"/>
      <c r="H35" s="15"/>
      <c r="I35" s="15"/>
      <c r="J35" s="15"/>
      <c r="K35" s="15"/>
      <c r="L35" s="15"/>
      <c r="M35" s="15"/>
      <c r="N35" s="15"/>
      <c r="O35" s="15"/>
      <c r="P35" s="15"/>
      <c r="Q35" s="15"/>
      <c r="R35" s="15"/>
      <c r="S35" s="15"/>
      <c r="T35" s="15"/>
      <c r="U35" s="15"/>
      <c r="V35" s="15"/>
      <c r="W35" s="15"/>
      <c r="X35" s="15"/>
      <c r="Y35" s="15"/>
      <c r="Z35" s="15"/>
      <c r="AA35" s="15"/>
    </row>
    <row r="36" spans="1:27" ht="15" customHeight="1" x14ac:dyDescent="0.3">
      <c r="A36" s="13" t="s">
        <v>186</v>
      </c>
      <c r="B36" s="5" t="s">
        <v>177</v>
      </c>
      <c r="C36" s="8" t="s">
        <v>158</v>
      </c>
      <c r="D36" s="5" t="s">
        <v>139</v>
      </c>
      <c r="E36" s="5">
        <v>0</v>
      </c>
      <c r="F36" s="5"/>
      <c r="G36" s="5"/>
      <c r="H36" s="15"/>
      <c r="I36" s="15"/>
      <c r="J36" s="15"/>
      <c r="K36" s="15"/>
      <c r="L36" s="15"/>
      <c r="M36" s="15"/>
      <c r="N36" s="15"/>
      <c r="O36" s="15"/>
      <c r="P36" s="15"/>
      <c r="Q36" s="15"/>
      <c r="R36" s="15"/>
      <c r="S36" s="15"/>
      <c r="T36" s="15"/>
      <c r="U36" s="15"/>
      <c r="V36" s="15"/>
      <c r="W36" s="15"/>
      <c r="X36" s="15"/>
      <c r="Y36" s="15"/>
      <c r="Z36" s="15"/>
      <c r="AA36" s="15"/>
    </row>
    <row r="37" spans="1:27" ht="15" customHeight="1" x14ac:dyDescent="0.3">
      <c r="A37" s="13" t="s">
        <v>187</v>
      </c>
      <c r="B37" s="5" t="s">
        <v>177</v>
      </c>
      <c r="C37" s="8" t="s">
        <v>158</v>
      </c>
      <c r="D37" s="5" t="s">
        <v>139</v>
      </c>
      <c r="E37" s="5">
        <v>0</v>
      </c>
      <c r="F37" s="5"/>
      <c r="G37" s="5"/>
      <c r="H37" s="15"/>
      <c r="I37" s="15"/>
      <c r="J37" s="15"/>
      <c r="K37" s="15"/>
      <c r="L37" s="15"/>
      <c r="M37" s="15"/>
      <c r="N37" s="15"/>
      <c r="O37" s="15"/>
      <c r="P37" s="15"/>
      <c r="Q37" s="15"/>
      <c r="R37" s="15"/>
      <c r="S37" s="15"/>
      <c r="T37" s="15"/>
      <c r="U37" s="15"/>
      <c r="V37" s="15"/>
      <c r="W37" s="15"/>
      <c r="X37" s="15"/>
      <c r="Y37" s="15"/>
      <c r="Z37" s="15"/>
      <c r="AA37" s="15"/>
    </row>
    <row r="38" spans="1:27" ht="15" customHeight="1" x14ac:dyDescent="0.3">
      <c r="A38" s="13" t="s">
        <v>188</v>
      </c>
      <c r="B38" s="5" t="s">
        <v>177</v>
      </c>
      <c r="C38" s="6" t="s">
        <v>165</v>
      </c>
      <c r="D38" s="5" t="s">
        <v>139</v>
      </c>
      <c r="E38" s="5">
        <v>0</v>
      </c>
      <c r="F38" s="5"/>
      <c r="G38" s="5"/>
      <c r="H38" s="15"/>
      <c r="I38" s="15"/>
      <c r="J38" s="15"/>
      <c r="K38" s="15"/>
      <c r="L38" s="15"/>
      <c r="M38" s="15"/>
      <c r="N38" s="15"/>
      <c r="O38" s="15"/>
      <c r="P38" s="15"/>
      <c r="Q38" s="15"/>
      <c r="R38" s="15"/>
      <c r="S38" s="15"/>
      <c r="T38" s="15"/>
      <c r="U38" s="15"/>
      <c r="V38" s="15"/>
      <c r="W38" s="15"/>
      <c r="X38" s="15"/>
      <c r="Y38" s="15"/>
      <c r="Z38" s="15"/>
      <c r="AA38" s="15"/>
    </row>
    <row r="39" spans="1:27" ht="15" customHeight="1" x14ac:dyDescent="0.3">
      <c r="A39" s="13" t="s">
        <v>189</v>
      </c>
      <c r="B39" s="5" t="s">
        <v>177</v>
      </c>
      <c r="C39" s="6" t="s">
        <v>165</v>
      </c>
      <c r="D39" s="5" t="s">
        <v>174</v>
      </c>
      <c r="E39" s="5">
        <v>0</v>
      </c>
      <c r="F39" s="5"/>
      <c r="G39" s="5"/>
      <c r="H39" s="15"/>
      <c r="I39" s="15"/>
      <c r="J39" s="15"/>
      <c r="K39" s="15"/>
      <c r="L39" s="15"/>
      <c r="M39" s="15"/>
      <c r="N39" s="15"/>
      <c r="O39" s="15"/>
      <c r="P39" s="15"/>
      <c r="Q39" s="15"/>
      <c r="R39" s="15"/>
      <c r="S39" s="15"/>
      <c r="T39" s="15"/>
      <c r="U39" s="15"/>
      <c r="V39" s="15"/>
      <c r="W39" s="15"/>
      <c r="X39" s="15"/>
      <c r="Y39" s="15"/>
      <c r="Z39" s="15"/>
      <c r="AA39" s="15"/>
    </row>
    <row r="40" spans="1:27" ht="15" customHeight="1" x14ac:dyDescent="0.3">
      <c r="A40" s="13" t="s">
        <v>190</v>
      </c>
      <c r="B40" s="5" t="s">
        <v>177</v>
      </c>
      <c r="C40" s="6" t="s">
        <v>165</v>
      </c>
      <c r="D40" s="5" t="s">
        <v>139</v>
      </c>
      <c r="E40" s="5">
        <v>0</v>
      </c>
      <c r="F40" s="5"/>
      <c r="G40" s="5"/>
      <c r="H40" s="15"/>
      <c r="I40" s="15"/>
      <c r="J40" s="15"/>
      <c r="K40" s="15"/>
      <c r="L40" s="15"/>
      <c r="M40" s="15"/>
      <c r="N40" s="15"/>
      <c r="O40" s="15"/>
      <c r="P40" s="15"/>
      <c r="Q40" s="15"/>
      <c r="R40" s="15"/>
      <c r="S40" s="15"/>
      <c r="T40" s="15"/>
      <c r="U40" s="15"/>
      <c r="V40" s="15"/>
      <c r="W40" s="15"/>
      <c r="X40" s="15"/>
      <c r="Y40" s="15"/>
      <c r="Z40" s="15"/>
      <c r="AA40" s="15"/>
    </row>
    <row r="41" spans="1:27" ht="15" customHeight="1" x14ac:dyDescent="0.3">
      <c r="A41" s="13" t="s">
        <v>191</v>
      </c>
      <c r="B41" s="5" t="s">
        <v>177</v>
      </c>
      <c r="C41" s="6" t="s">
        <v>165</v>
      </c>
      <c r="D41" s="5" t="s">
        <v>139</v>
      </c>
      <c r="E41" s="5">
        <v>1</v>
      </c>
      <c r="F41" s="5"/>
      <c r="G41" s="5" t="s">
        <v>56</v>
      </c>
      <c r="H41" s="15"/>
      <c r="I41" s="15"/>
      <c r="J41" s="15"/>
      <c r="K41" s="15"/>
      <c r="L41" s="15"/>
      <c r="M41" s="15"/>
      <c r="N41" s="15"/>
      <c r="O41" s="15"/>
      <c r="P41" s="15"/>
      <c r="Q41" s="15"/>
      <c r="R41" s="15"/>
      <c r="S41" s="16" t="s">
        <v>145</v>
      </c>
      <c r="T41" s="15"/>
      <c r="U41" s="15"/>
      <c r="V41" s="15"/>
      <c r="W41" s="15"/>
      <c r="X41" s="15"/>
      <c r="Y41" s="15"/>
      <c r="Z41" s="15"/>
      <c r="AA41" s="15"/>
    </row>
    <row r="42" spans="1:27" ht="15" customHeight="1" x14ac:dyDescent="0.3">
      <c r="A42" s="13" t="s">
        <v>146</v>
      </c>
      <c r="B42" s="5" t="s">
        <v>192</v>
      </c>
      <c r="C42" s="9" t="s">
        <v>138</v>
      </c>
      <c r="D42" s="5" t="s">
        <v>139</v>
      </c>
      <c r="E42" s="5">
        <v>8</v>
      </c>
      <c r="F42" s="5" t="s">
        <v>147</v>
      </c>
      <c r="G42" s="5" t="s">
        <v>71</v>
      </c>
      <c r="H42" s="14" t="s">
        <v>141</v>
      </c>
      <c r="I42" s="14" t="s">
        <v>141</v>
      </c>
      <c r="J42" s="15"/>
      <c r="K42" s="14" t="s">
        <v>141</v>
      </c>
      <c r="L42" s="15"/>
      <c r="M42" s="15"/>
      <c r="N42" s="15"/>
      <c r="O42" s="14" t="s">
        <v>141</v>
      </c>
      <c r="P42" s="15"/>
      <c r="Q42" s="15"/>
      <c r="R42" s="15"/>
      <c r="S42" s="14" t="s">
        <v>141</v>
      </c>
      <c r="T42" s="15"/>
      <c r="U42" s="14" t="s">
        <v>141</v>
      </c>
      <c r="V42" s="16" t="s">
        <v>145</v>
      </c>
      <c r="W42" s="15"/>
      <c r="X42" s="15"/>
      <c r="Y42" s="14" t="s">
        <v>141</v>
      </c>
      <c r="Z42" s="15"/>
      <c r="AA42" s="15"/>
    </row>
    <row r="43" spans="1:27" ht="15" customHeight="1" x14ac:dyDescent="0.3">
      <c r="A43" s="13" t="s">
        <v>193</v>
      </c>
      <c r="B43" s="5" t="s">
        <v>192</v>
      </c>
      <c r="C43" s="9" t="s">
        <v>138</v>
      </c>
      <c r="D43" s="5" t="s">
        <v>139</v>
      </c>
      <c r="E43" s="5">
        <v>0</v>
      </c>
      <c r="F43" s="5"/>
      <c r="G43" s="5"/>
      <c r="H43" s="15"/>
      <c r="I43" s="15"/>
      <c r="J43" s="15"/>
      <c r="K43" s="15"/>
      <c r="L43" s="15"/>
      <c r="M43" s="15"/>
      <c r="N43" s="15"/>
      <c r="O43" s="15"/>
      <c r="P43" s="15"/>
      <c r="Q43" s="15"/>
      <c r="R43" s="15"/>
      <c r="S43" s="15"/>
      <c r="T43" s="15"/>
      <c r="U43" s="15"/>
      <c r="V43" s="15"/>
      <c r="W43" s="15"/>
      <c r="X43" s="15"/>
      <c r="Y43" s="15"/>
      <c r="Z43" s="15"/>
      <c r="AA43" s="15"/>
    </row>
    <row r="44" spans="1:27" ht="15" customHeight="1" x14ac:dyDescent="0.3">
      <c r="A44" s="13" t="s">
        <v>194</v>
      </c>
      <c r="B44" s="5" t="s">
        <v>192</v>
      </c>
      <c r="C44" s="8" t="s">
        <v>158</v>
      </c>
      <c r="D44" s="5" t="s">
        <v>151</v>
      </c>
      <c r="E44" s="5">
        <v>1</v>
      </c>
      <c r="F44" s="5"/>
      <c r="G44" s="5" t="s">
        <v>23</v>
      </c>
      <c r="H44" s="15"/>
      <c r="I44" s="15"/>
      <c r="J44" s="15"/>
      <c r="K44" s="16" t="s">
        <v>145</v>
      </c>
      <c r="L44" s="15"/>
      <c r="M44" s="15"/>
      <c r="N44" s="15"/>
      <c r="O44" s="15"/>
      <c r="P44" s="15"/>
      <c r="Q44" s="15"/>
      <c r="R44" s="15"/>
      <c r="S44" s="15"/>
      <c r="T44" s="15"/>
      <c r="U44" s="15"/>
      <c r="V44" s="15"/>
      <c r="W44" s="15"/>
      <c r="X44" s="15"/>
      <c r="Y44" s="15"/>
      <c r="Z44" s="15"/>
      <c r="AA44" s="15"/>
    </row>
    <row r="45" spans="1:27" ht="15" customHeight="1" x14ac:dyDescent="0.3">
      <c r="A45" s="13" t="s">
        <v>195</v>
      </c>
      <c r="B45" s="5" t="s">
        <v>192</v>
      </c>
      <c r="C45" s="8" t="s">
        <v>158</v>
      </c>
      <c r="D45" s="5" t="s">
        <v>151</v>
      </c>
      <c r="E45" s="5">
        <v>1</v>
      </c>
      <c r="F45" s="5"/>
      <c r="G45" s="5" t="s">
        <v>23</v>
      </c>
      <c r="H45" s="15"/>
      <c r="I45" s="15"/>
      <c r="J45" s="15"/>
      <c r="K45" s="16" t="s">
        <v>145</v>
      </c>
      <c r="L45" s="15"/>
      <c r="M45" s="15"/>
      <c r="N45" s="15"/>
      <c r="O45" s="15"/>
      <c r="P45" s="15"/>
      <c r="Q45" s="15"/>
      <c r="R45" s="15"/>
      <c r="S45" s="15"/>
      <c r="T45" s="15"/>
      <c r="U45" s="15"/>
      <c r="V45" s="15"/>
      <c r="W45" s="15"/>
      <c r="X45" s="15"/>
      <c r="Y45" s="15"/>
      <c r="Z45" s="15"/>
      <c r="AA45" s="15"/>
    </row>
    <row r="46" spans="1:27" ht="15" customHeight="1" x14ac:dyDescent="0.3">
      <c r="A46" s="13" t="s">
        <v>196</v>
      </c>
      <c r="B46" s="5" t="s">
        <v>192</v>
      </c>
      <c r="C46" s="8" t="s">
        <v>158</v>
      </c>
      <c r="D46" s="5" t="s">
        <v>151</v>
      </c>
      <c r="E46" s="5">
        <v>0</v>
      </c>
      <c r="F46" s="5"/>
      <c r="G46" s="5"/>
      <c r="H46" s="15"/>
      <c r="I46" s="15"/>
      <c r="J46" s="15"/>
      <c r="K46" s="15"/>
      <c r="L46" s="15"/>
      <c r="M46" s="15"/>
      <c r="N46" s="15"/>
      <c r="O46" s="15"/>
      <c r="P46" s="15"/>
      <c r="Q46" s="15"/>
      <c r="R46" s="15"/>
      <c r="S46" s="15"/>
      <c r="T46" s="15"/>
      <c r="U46" s="15"/>
      <c r="V46" s="15"/>
      <c r="W46" s="15"/>
      <c r="X46" s="15"/>
      <c r="Y46" s="15"/>
      <c r="Z46" s="15"/>
      <c r="AA46" s="15"/>
    </row>
    <row r="47" spans="1:27" ht="15" customHeight="1" x14ac:dyDescent="0.3">
      <c r="A47" s="13" t="s">
        <v>197</v>
      </c>
      <c r="B47" s="5" t="s">
        <v>192</v>
      </c>
      <c r="C47" s="6" t="s">
        <v>165</v>
      </c>
      <c r="D47" s="5" t="s">
        <v>151</v>
      </c>
      <c r="E47" s="5">
        <v>1</v>
      </c>
      <c r="F47" s="5"/>
      <c r="G47" s="5" t="s">
        <v>23</v>
      </c>
      <c r="H47" s="15"/>
      <c r="I47" s="15"/>
      <c r="J47" s="15"/>
      <c r="K47" s="16" t="s">
        <v>145</v>
      </c>
      <c r="L47" s="15"/>
      <c r="M47" s="15"/>
      <c r="N47" s="15"/>
      <c r="O47" s="15"/>
      <c r="P47" s="15"/>
      <c r="Q47" s="15"/>
      <c r="R47" s="15"/>
      <c r="S47" s="15"/>
      <c r="T47" s="15"/>
      <c r="U47" s="15"/>
      <c r="V47" s="15"/>
      <c r="W47" s="15"/>
      <c r="X47" s="15"/>
      <c r="Y47" s="15"/>
      <c r="Z47" s="15"/>
      <c r="AA47" s="15"/>
    </row>
    <row r="48" spans="1:27" ht="15" customHeight="1" x14ac:dyDescent="0.3">
      <c r="A48" s="13" t="s">
        <v>198</v>
      </c>
      <c r="B48" s="5" t="s">
        <v>192</v>
      </c>
      <c r="C48" s="6" t="s">
        <v>165</v>
      </c>
      <c r="D48" s="5" t="s">
        <v>151</v>
      </c>
      <c r="E48" s="5">
        <v>1</v>
      </c>
      <c r="F48" s="5"/>
      <c r="G48" s="5" t="s">
        <v>23</v>
      </c>
      <c r="H48" s="15"/>
      <c r="I48" s="15"/>
      <c r="J48" s="15"/>
      <c r="K48" s="16" t="s">
        <v>145</v>
      </c>
      <c r="L48" s="15"/>
      <c r="M48" s="15"/>
      <c r="N48" s="15"/>
      <c r="O48" s="15"/>
      <c r="P48" s="15"/>
      <c r="Q48" s="15"/>
      <c r="R48" s="15"/>
      <c r="S48" s="15"/>
      <c r="T48" s="15"/>
      <c r="U48" s="15"/>
      <c r="V48" s="15"/>
      <c r="W48" s="15"/>
      <c r="X48" s="15"/>
      <c r="Y48" s="15"/>
      <c r="Z48" s="15"/>
      <c r="AA48" s="15"/>
    </row>
    <row r="49" spans="1:27" ht="15" customHeight="1" x14ac:dyDescent="0.3">
      <c r="A49" s="13" t="s">
        <v>199</v>
      </c>
      <c r="B49" s="5" t="s">
        <v>192</v>
      </c>
      <c r="C49" s="6" t="s">
        <v>165</v>
      </c>
      <c r="D49" s="5" t="s">
        <v>151</v>
      </c>
      <c r="E49" s="5">
        <v>1</v>
      </c>
      <c r="F49" s="5"/>
      <c r="G49" s="5" t="s">
        <v>23</v>
      </c>
      <c r="H49" s="15"/>
      <c r="I49" s="15"/>
      <c r="J49" s="15"/>
      <c r="K49" s="16" t="s">
        <v>145</v>
      </c>
      <c r="L49" s="15"/>
      <c r="M49" s="15"/>
      <c r="N49" s="15"/>
      <c r="O49" s="15"/>
      <c r="P49" s="15"/>
      <c r="Q49" s="15"/>
      <c r="R49" s="15"/>
      <c r="S49" s="15"/>
      <c r="T49" s="15"/>
      <c r="U49" s="15"/>
      <c r="V49" s="15"/>
      <c r="W49" s="15"/>
      <c r="X49" s="15"/>
      <c r="Y49" s="15"/>
      <c r="Z49" s="15"/>
      <c r="AA49" s="15"/>
    </row>
    <row r="50" spans="1:27" ht="15" customHeight="1" x14ac:dyDescent="0.3">
      <c r="A50" s="13" t="s">
        <v>200</v>
      </c>
      <c r="B50" s="5" t="s">
        <v>192</v>
      </c>
      <c r="C50" s="8" t="s">
        <v>158</v>
      </c>
      <c r="D50" s="5" t="s">
        <v>201</v>
      </c>
      <c r="E50" s="5">
        <v>1</v>
      </c>
      <c r="F50" s="5" t="s">
        <v>23</v>
      </c>
      <c r="G50" s="5"/>
      <c r="H50" s="15"/>
      <c r="I50" s="15"/>
      <c r="J50" s="15"/>
      <c r="K50" s="14" t="s">
        <v>141</v>
      </c>
      <c r="L50" s="15"/>
      <c r="M50" s="15"/>
      <c r="N50" s="15"/>
      <c r="O50" s="15"/>
      <c r="P50" s="15"/>
      <c r="Q50" s="15"/>
      <c r="R50" s="15"/>
      <c r="S50" s="15"/>
      <c r="T50" s="15"/>
      <c r="U50" s="15"/>
      <c r="V50" s="15"/>
      <c r="W50" s="15"/>
      <c r="X50" s="15"/>
      <c r="Y50" s="15"/>
      <c r="Z50" s="15"/>
      <c r="AA50" s="15"/>
    </row>
    <row r="51" spans="1:27" ht="15" customHeight="1" x14ac:dyDescent="0.3">
      <c r="A51" s="13" t="s">
        <v>202</v>
      </c>
      <c r="B51" s="5" t="s">
        <v>192</v>
      </c>
      <c r="C51" s="8" t="s">
        <v>158</v>
      </c>
      <c r="D51" s="5" t="s">
        <v>151</v>
      </c>
      <c r="E51" s="5">
        <v>1</v>
      </c>
      <c r="F51" s="5" t="s">
        <v>23</v>
      </c>
      <c r="G51" s="5"/>
      <c r="H51" s="15"/>
      <c r="I51" s="15"/>
      <c r="J51" s="15"/>
      <c r="K51" s="14" t="s">
        <v>141</v>
      </c>
      <c r="L51" s="15"/>
      <c r="M51" s="15"/>
      <c r="N51" s="15"/>
      <c r="O51" s="15"/>
      <c r="P51" s="15"/>
      <c r="Q51" s="15"/>
      <c r="R51" s="15"/>
      <c r="S51" s="15"/>
      <c r="T51" s="15"/>
      <c r="U51" s="15"/>
      <c r="V51" s="15"/>
      <c r="W51" s="15"/>
      <c r="X51" s="15"/>
      <c r="Y51" s="15"/>
      <c r="Z51" s="15"/>
      <c r="AA51" s="15"/>
    </row>
    <row r="52" spans="1:27" ht="15" customHeight="1" x14ac:dyDescent="0.3">
      <c r="A52" s="13" t="s">
        <v>148</v>
      </c>
      <c r="B52" s="5" t="s">
        <v>203</v>
      </c>
      <c r="C52" s="9" t="s">
        <v>138</v>
      </c>
      <c r="D52" s="5" t="s">
        <v>139</v>
      </c>
      <c r="E52" s="5">
        <v>14</v>
      </c>
      <c r="F52" s="5" t="s">
        <v>149</v>
      </c>
      <c r="G52" s="5"/>
      <c r="H52" s="14" t="s">
        <v>141</v>
      </c>
      <c r="I52" s="14" t="s">
        <v>141</v>
      </c>
      <c r="J52" s="14" t="s">
        <v>141</v>
      </c>
      <c r="K52" s="15"/>
      <c r="L52" s="14" t="s">
        <v>141</v>
      </c>
      <c r="M52" s="14" t="s">
        <v>141</v>
      </c>
      <c r="N52" s="15"/>
      <c r="O52" s="15"/>
      <c r="P52" s="14" t="s">
        <v>141</v>
      </c>
      <c r="Q52" s="14" t="s">
        <v>141</v>
      </c>
      <c r="R52" s="14" t="s">
        <v>141</v>
      </c>
      <c r="S52" s="14" t="s">
        <v>141</v>
      </c>
      <c r="T52" s="14" t="s">
        <v>141</v>
      </c>
      <c r="U52" s="15"/>
      <c r="V52" s="14" t="s">
        <v>141</v>
      </c>
      <c r="W52" s="14" t="s">
        <v>141</v>
      </c>
      <c r="X52" s="14" t="s">
        <v>141</v>
      </c>
      <c r="Y52" s="15"/>
      <c r="Z52" s="14" t="s">
        <v>141</v>
      </c>
      <c r="AA52" s="15"/>
    </row>
    <row r="53" spans="1:27" ht="15" customHeight="1" x14ac:dyDescent="0.3">
      <c r="A53" s="13" t="s">
        <v>204</v>
      </c>
      <c r="B53" s="5" t="s">
        <v>203</v>
      </c>
      <c r="C53" s="9" t="s">
        <v>138</v>
      </c>
      <c r="D53" s="5" t="s">
        <v>139</v>
      </c>
      <c r="E53" s="5">
        <v>0</v>
      </c>
      <c r="F53" s="5"/>
      <c r="G53" s="5"/>
      <c r="H53" s="15"/>
      <c r="I53" s="15"/>
      <c r="J53" s="15"/>
      <c r="K53" s="15"/>
      <c r="L53" s="15"/>
      <c r="M53" s="15"/>
      <c r="N53" s="15"/>
      <c r="O53" s="15"/>
      <c r="P53" s="15"/>
      <c r="Q53" s="15"/>
      <c r="R53" s="15"/>
      <c r="S53" s="15"/>
      <c r="T53" s="15"/>
      <c r="U53" s="15"/>
      <c r="V53" s="15"/>
      <c r="W53" s="15"/>
      <c r="X53" s="15"/>
      <c r="Y53" s="15"/>
      <c r="Z53" s="15"/>
      <c r="AA53" s="15"/>
    </row>
    <row r="54" spans="1:27" ht="15" customHeight="1" x14ac:dyDescent="0.3">
      <c r="A54" s="13" t="s">
        <v>205</v>
      </c>
      <c r="B54" s="5" t="s">
        <v>203</v>
      </c>
      <c r="C54" s="9" t="s">
        <v>138</v>
      </c>
      <c r="D54" s="5" t="s">
        <v>139</v>
      </c>
      <c r="E54" s="5">
        <v>3</v>
      </c>
      <c r="F54" s="5" t="s">
        <v>206</v>
      </c>
      <c r="G54" s="5" t="s">
        <v>71</v>
      </c>
      <c r="H54" s="15"/>
      <c r="I54" s="15"/>
      <c r="J54" s="14" t="s">
        <v>141</v>
      </c>
      <c r="K54" s="15"/>
      <c r="L54" s="15"/>
      <c r="M54" s="15"/>
      <c r="N54" s="15"/>
      <c r="O54" s="15"/>
      <c r="P54" s="15"/>
      <c r="Q54" s="15"/>
      <c r="R54" s="14" t="s">
        <v>141</v>
      </c>
      <c r="S54" s="15"/>
      <c r="T54" s="15"/>
      <c r="U54" s="15"/>
      <c r="V54" s="16" t="s">
        <v>145</v>
      </c>
      <c r="W54" s="15"/>
      <c r="X54" s="15"/>
      <c r="Y54" s="15"/>
      <c r="Z54" s="15"/>
      <c r="AA54" s="15"/>
    </row>
    <row r="55" spans="1:27" ht="15" customHeight="1" x14ac:dyDescent="0.3">
      <c r="A55" s="13" t="s">
        <v>207</v>
      </c>
      <c r="B55" s="5" t="s">
        <v>203</v>
      </c>
      <c r="C55" s="8" t="s">
        <v>158</v>
      </c>
      <c r="D55" s="5" t="s">
        <v>139</v>
      </c>
      <c r="E55" s="5">
        <v>0</v>
      </c>
      <c r="F55" s="5"/>
      <c r="G55" s="5"/>
      <c r="H55" s="15"/>
      <c r="I55" s="15"/>
      <c r="J55" s="15"/>
      <c r="K55" s="15"/>
      <c r="L55" s="15"/>
      <c r="M55" s="15"/>
      <c r="N55" s="15"/>
      <c r="O55" s="15"/>
      <c r="P55" s="15"/>
      <c r="Q55" s="15"/>
      <c r="R55" s="15"/>
      <c r="S55" s="15"/>
      <c r="T55" s="15"/>
      <c r="U55" s="15"/>
      <c r="V55" s="15"/>
      <c r="W55" s="15"/>
      <c r="X55" s="15"/>
      <c r="Y55" s="15"/>
      <c r="Z55" s="15"/>
      <c r="AA55" s="15"/>
    </row>
    <row r="56" spans="1:27" ht="15" customHeight="1" x14ac:dyDescent="0.3">
      <c r="A56" s="13" t="s">
        <v>208</v>
      </c>
      <c r="B56" s="5" t="s">
        <v>203</v>
      </c>
      <c r="C56" s="9" t="s">
        <v>138</v>
      </c>
      <c r="D56" s="5" t="s">
        <v>151</v>
      </c>
      <c r="E56" s="5">
        <v>0</v>
      </c>
      <c r="F56" s="5"/>
      <c r="G56" s="5"/>
      <c r="H56" s="15"/>
      <c r="I56" s="15"/>
      <c r="J56" s="15"/>
      <c r="K56" s="15"/>
      <c r="L56" s="15"/>
      <c r="M56" s="15"/>
      <c r="N56" s="15"/>
      <c r="O56" s="15"/>
      <c r="P56" s="15"/>
      <c r="Q56" s="15"/>
      <c r="R56" s="15"/>
      <c r="S56" s="15"/>
      <c r="T56" s="15"/>
      <c r="U56" s="15"/>
      <c r="V56" s="15"/>
      <c r="W56" s="15"/>
      <c r="X56" s="15"/>
      <c r="Y56" s="15"/>
      <c r="Z56" s="15"/>
      <c r="AA56" s="15"/>
    </row>
    <row r="57" spans="1:27" ht="15" customHeight="1" x14ac:dyDescent="0.3">
      <c r="A57" s="13" t="s">
        <v>209</v>
      </c>
      <c r="B57" s="5" t="s">
        <v>203</v>
      </c>
      <c r="C57" s="9" t="s">
        <v>138</v>
      </c>
      <c r="D57" s="5" t="s">
        <v>151</v>
      </c>
      <c r="E57" s="5">
        <v>0</v>
      </c>
      <c r="F57" s="5"/>
      <c r="G57" s="5"/>
      <c r="H57" s="15"/>
      <c r="I57" s="15"/>
      <c r="J57" s="15"/>
      <c r="K57" s="15"/>
      <c r="L57" s="15"/>
      <c r="M57" s="15"/>
      <c r="N57" s="15"/>
      <c r="O57" s="15"/>
      <c r="P57" s="15"/>
      <c r="Q57" s="15"/>
      <c r="R57" s="15"/>
      <c r="S57" s="15"/>
      <c r="T57" s="15"/>
      <c r="U57" s="15"/>
      <c r="V57" s="15"/>
      <c r="W57" s="15"/>
      <c r="X57" s="15"/>
      <c r="Y57" s="15"/>
      <c r="Z57" s="15"/>
      <c r="AA57" s="15"/>
    </row>
    <row r="58" spans="1:27" ht="15" customHeight="1" x14ac:dyDescent="0.3">
      <c r="A58" s="13" t="s">
        <v>210</v>
      </c>
      <c r="B58" s="5" t="s">
        <v>203</v>
      </c>
      <c r="C58" s="8" t="s">
        <v>158</v>
      </c>
      <c r="D58" s="5" t="s">
        <v>143</v>
      </c>
      <c r="E58" s="5">
        <v>1</v>
      </c>
      <c r="F58" s="5" t="s">
        <v>76</v>
      </c>
      <c r="G58" s="5"/>
      <c r="H58" s="15"/>
      <c r="I58" s="15"/>
      <c r="J58" s="15"/>
      <c r="K58" s="15"/>
      <c r="L58" s="15"/>
      <c r="M58" s="15"/>
      <c r="N58" s="15"/>
      <c r="O58" s="15"/>
      <c r="P58" s="15"/>
      <c r="Q58" s="15"/>
      <c r="R58" s="15"/>
      <c r="S58" s="15"/>
      <c r="T58" s="15"/>
      <c r="U58" s="15"/>
      <c r="V58" s="15"/>
      <c r="W58" s="14" t="s">
        <v>141</v>
      </c>
      <c r="X58" s="15"/>
      <c r="Y58" s="15"/>
      <c r="Z58" s="15"/>
      <c r="AA58" s="15"/>
    </row>
    <row r="59" spans="1:27" ht="15" customHeight="1" x14ac:dyDescent="0.3">
      <c r="A59" s="13" t="s">
        <v>211</v>
      </c>
      <c r="B59" s="5" t="s">
        <v>203</v>
      </c>
      <c r="C59" s="8" t="s">
        <v>158</v>
      </c>
      <c r="D59" s="5" t="s">
        <v>139</v>
      </c>
      <c r="E59" s="5">
        <v>0</v>
      </c>
      <c r="F59" s="5"/>
      <c r="G59" s="5"/>
      <c r="H59" s="15"/>
      <c r="I59" s="15"/>
      <c r="J59" s="15"/>
      <c r="K59" s="15"/>
      <c r="L59" s="15"/>
      <c r="M59" s="15"/>
      <c r="N59" s="15"/>
      <c r="O59" s="15"/>
      <c r="P59" s="15"/>
      <c r="Q59" s="15"/>
      <c r="R59" s="15"/>
      <c r="S59" s="15"/>
      <c r="T59" s="15"/>
      <c r="U59" s="15"/>
      <c r="V59" s="15"/>
      <c r="W59" s="15"/>
      <c r="X59" s="15"/>
      <c r="Y59" s="15"/>
      <c r="Z59" s="15"/>
      <c r="AA59" s="15"/>
    </row>
    <row r="60" spans="1:27" ht="15" customHeight="1" x14ac:dyDescent="0.3">
      <c r="A60" s="13" t="s">
        <v>212</v>
      </c>
      <c r="B60" s="5" t="s">
        <v>203</v>
      </c>
      <c r="C60" s="9" t="s">
        <v>138</v>
      </c>
      <c r="D60" s="5" t="s">
        <v>139</v>
      </c>
      <c r="E60" s="5">
        <v>0</v>
      </c>
      <c r="F60" s="5"/>
      <c r="G60" s="5"/>
      <c r="H60" s="15"/>
      <c r="I60" s="15"/>
      <c r="J60" s="15"/>
      <c r="K60" s="15"/>
      <c r="L60" s="15"/>
      <c r="M60" s="15"/>
      <c r="N60" s="15"/>
      <c r="O60" s="15"/>
      <c r="P60" s="15"/>
      <c r="Q60" s="15"/>
      <c r="R60" s="15"/>
      <c r="S60" s="15"/>
      <c r="T60" s="15"/>
      <c r="U60" s="15"/>
      <c r="V60" s="15"/>
      <c r="W60" s="15"/>
      <c r="X60" s="15"/>
      <c r="Y60" s="15"/>
      <c r="Z60" s="15"/>
      <c r="AA60" s="15"/>
    </row>
    <row r="61" spans="1:27" ht="15" customHeight="1" x14ac:dyDescent="0.3">
      <c r="A61" s="13" t="s">
        <v>213</v>
      </c>
      <c r="B61" s="5" t="s">
        <v>203</v>
      </c>
      <c r="C61" s="6" t="s">
        <v>165</v>
      </c>
      <c r="D61" s="5" t="s">
        <v>139</v>
      </c>
      <c r="E61" s="5">
        <v>1</v>
      </c>
      <c r="F61" s="5"/>
      <c r="G61" s="5" t="s">
        <v>42</v>
      </c>
      <c r="H61" s="15"/>
      <c r="I61" s="15"/>
      <c r="J61" s="15"/>
      <c r="K61" s="15"/>
      <c r="L61" s="15"/>
      <c r="M61" s="15"/>
      <c r="N61" s="15"/>
      <c r="O61" s="15"/>
      <c r="P61" s="16" t="s">
        <v>145</v>
      </c>
      <c r="Q61" s="15"/>
      <c r="R61" s="15"/>
      <c r="S61" s="15"/>
      <c r="T61" s="15"/>
      <c r="U61" s="15"/>
      <c r="V61" s="15"/>
      <c r="W61" s="15"/>
      <c r="X61" s="15"/>
      <c r="Y61" s="15"/>
      <c r="Z61" s="15"/>
      <c r="AA61" s="15"/>
    </row>
    <row r="62" spans="1:27" ht="15" customHeight="1" x14ac:dyDescent="0.3">
      <c r="A62" s="13" t="s">
        <v>214</v>
      </c>
      <c r="B62" s="5" t="s">
        <v>203</v>
      </c>
      <c r="C62" s="6" t="s">
        <v>165</v>
      </c>
      <c r="D62" s="5" t="s">
        <v>139</v>
      </c>
      <c r="E62" s="5">
        <v>0</v>
      </c>
      <c r="F62" s="5"/>
      <c r="G62" s="5"/>
      <c r="H62" s="15"/>
      <c r="I62" s="15"/>
      <c r="J62" s="15"/>
      <c r="K62" s="15"/>
      <c r="L62" s="15"/>
      <c r="M62" s="15"/>
      <c r="N62" s="15"/>
      <c r="O62" s="15"/>
      <c r="P62" s="15"/>
      <c r="Q62" s="15"/>
      <c r="R62" s="15"/>
      <c r="S62" s="15"/>
      <c r="T62" s="15"/>
      <c r="U62" s="15"/>
      <c r="V62" s="15"/>
      <c r="W62" s="15"/>
      <c r="X62" s="15"/>
      <c r="Y62" s="15"/>
      <c r="Z62" s="15"/>
      <c r="AA62" s="15"/>
    </row>
    <row r="63" spans="1:27" ht="15" customHeight="1" x14ac:dyDescent="0.3">
      <c r="A63" s="13" t="s">
        <v>215</v>
      </c>
      <c r="B63" s="5" t="s">
        <v>203</v>
      </c>
      <c r="C63" s="6" t="s">
        <v>165</v>
      </c>
      <c r="D63" s="5" t="s">
        <v>139</v>
      </c>
      <c r="E63" s="5">
        <v>0</v>
      </c>
      <c r="F63" s="5"/>
      <c r="G63" s="5"/>
      <c r="H63" s="15"/>
      <c r="I63" s="15"/>
      <c r="J63" s="15"/>
      <c r="K63" s="15"/>
      <c r="L63" s="15"/>
      <c r="M63" s="15"/>
      <c r="N63" s="15"/>
      <c r="O63" s="15"/>
      <c r="P63" s="15"/>
      <c r="Q63" s="15"/>
      <c r="R63" s="15"/>
      <c r="S63" s="15"/>
      <c r="T63" s="15"/>
      <c r="U63" s="15"/>
      <c r="V63" s="15"/>
      <c r="W63" s="15"/>
      <c r="X63" s="15"/>
      <c r="Y63" s="15"/>
      <c r="Z63" s="15"/>
      <c r="AA63" s="15"/>
    </row>
    <row r="64" spans="1:27" ht="15" customHeight="1" x14ac:dyDescent="0.3">
      <c r="A64" s="13" t="s">
        <v>148</v>
      </c>
      <c r="B64" s="5" t="s">
        <v>216</v>
      </c>
      <c r="C64" s="9" t="s">
        <v>138</v>
      </c>
      <c r="D64" s="5" t="s">
        <v>139</v>
      </c>
      <c r="E64" s="5">
        <v>14</v>
      </c>
      <c r="F64" s="5" t="s">
        <v>149</v>
      </c>
      <c r="G64" s="5"/>
      <c r="H64" s="14" t="s">
        <v>141</v>
      </c>
      <c r="I64" s="14" t="s">
        <v>141</v>
      </c>
      <c r="J64" s="14" t="s">
        <v>141</v>
      </c>
      <c r="K64" s="15"/>
      <c r="L64" s="14" t="s">
        <v>141</v>
      </c>
      <c r="M64" s="14" t="s">
        <v>141</v>
      </c>
      <c r="N64" s="15"/>
      <c r="O64" s="15"/>
      <c r="P64" s="14" t="s">
        <v>141</v>
      </c>
      <c r="Q64" s="14" t="s">
        <v>141</v>
      </c>
      <c r="R64" s="14" t="s">
        <v>141</v>
      </c>
      <c r="S64" s="14" t="s">
        <v>141</v>
      </c>
      <c r="T64" s="14" t="s">
        <v>141</v>
      </c>
      <c r="U64" s="15"/>
      <c r="V64" s="14" t="s">
        <v>141</v>
      </c>
      <c r="W64" s="14" t="s">
        <v>141</v>
      </c>
      <c r="X64" s="14" t="s">
        <v>141</v>
      </c>
      <c r="Y64" s="15"/>
      <c r="Z64" s="14" t="s">
        <v>141</v>
      </c>
      <c r="AA64" s="15"/>
    </row>
    <row r="65" spans="1:27" ht="15" customHeight="1" x14ac:dyDescent="0.3">
      <c r="A65" s="13" t="s">
        <v>217</v>
      </c>
      <c r="B65" s="5" t="s">
        <v>216</v>
      </c>
      <c r="C65" s="9" t="s">
        <v>138</v>
      </c>
      <c r="D65" s="5" t="s">
        <v>143</v>
      </c>
      <c r="E65" s="5">
        <v>0</v>
      </c>
      <c r="F65" s="5"/>
      <c r="G65" s="5"/>
      <c r="H65" s="15"/>
      <c r="I65" s="15"/>
      <c r="J65" s="15"/>
      <c r="K65" s="15"/>
      <c r="L65" s="15"/>
      <c r="M65" s="15"/>
      <c r="N65" s="15"/>
      <c r="O65" s="15"/>
      <c r="P65" s="15"/>
      <c r="Q65" s="15"/>
      <c r="R65" s="15"/>
      <c r="S65" s="15"/>
      <c r="T65" s="15"/>
      <c r="U65" s="15"/>
      <c r="V65" s="15"/>
      <c r="W65" s="15"/>
      <c r="X65" s="15"/>
      <c r="Y65" s="15"/>
      <c r="Z65" s="15"/>
      <c r="AA65" s="15"/>
    </row>
    <row r="66" spans="1:27" ht="15" customHeight="1" x14ac:dyDescent="0.3">
      <c r="A66" s="13" t="s">
        <v>153</v>
      </c>
      <c r="B66" s="5" t="s">
        <v>216</v>
      </c>
      <c r="C66" s="9" t="s">
        <v>138</v>
      </c>
      <c r="D66" s="5" t="s">
        <v>151</v>
      </c>
      <c r="E66" s="5">
        <v>5</v>
      </c>
      <c r="F66" s="5" t="s">
        <v>154</v>
      </c>
      <c r="G66" s="5"/>
      <c r="H66" s="14" t="s">
        <v>141</v>
      </c>
      <c r="I66" s="15"/>
      <c r="J66" s="15"/>
      <c r="K66" s="15"/>
      <c r="L66" s="14" t="s">
        <v>141</v>
      </c>
      <c r="M66" s="15"/>
      <c r="N66" s="15"/>
      <c r="O66" s="15"/>
      <c r="P66" s="15"/>
      <c r="Q66" s="14" t="s">
        <v>141</v>
      </c>
      <c r="R66" s="15"/>
      <c r="S66" s="15"/>
      <c r="T66" s="15"/>
      <c r="U66" s="15"/>
      <c r="V66" s="15"/>
      <c r="W66" s="15"/>
      <c r="X66" s="14" t="s">
        <v>141</v>
      </c>
      <c r="Y66" s="15"/>
      <c r="Z66" s="14" t="s">
        <v>141</v>
      </c>
      <c r="AA66" s="15"/>
    </row>
    <row r="67" spans="1:27" ht="15" customHeight="1" x14ac:dyDescent="0.3">
      <c r="A67" s="13" t="s">
        <v>218</v>
      </c>
      <c r="B67" s="5" t="s">
        <v>216</v>
      </c>
      <c r="C67" s="8" t="s">
        <v>158</v>
      </c>
      <c r="D67" s="5" t="s">
        <v>151</v>
      </c>
      <c r="E67" s="5">
        <v>0</v>
      </c>
      <c r="F67" s="5"/>
      <c r="G67" s="5"/>
      <c r="H67" s="15"/>
      <c r="I67" s="15"/>
      <c r="J67" s="15"/>
      <c r="K67" s="15"/>
      <c r="L67" s="15"/>
      <c r="M67" s="15"/>
      <c r="N67" s="15"/>
      <c r="O67" s="15"/>
      <c r="P67" s="15"/>
      <c r="Q67" s="15"/>
      <c r="R67" s="15"/>
      <c r="S67" s="15"/>
      <c r="T67" s="15"/>
      <c r="U67" s="15"/>
      <c r="V67" s="15"/>
      <c r="W67" s="15"/>
      <c r="X67" s="15"/>
      <c r="Y67" s="15"/>
      <c r="Z67" s="15"/>
      <c r="AA67" s="15"/>
    </row>
    <row r="68" spans="1:27" ht="15" customHeight="1" x14ac:dyDescent="0.3">
      <c r="A68" s="13" t="s">
        <v>219</v>
      </c>
      <c r="B68" s="5" t="s">
        <v>216</v>
      </c>
      <c r="C68" s="6" t="s">
        <v>165</v>
      </c>
      <c r="D68" s="5" t="s">
        <v>139</v>
      </c>
      <c r="E68" s="5">
        <v>0</v>
      </c>
      <c r="F68" s="5"/>
      <c r="G68" s="5"/>
      <c r="H68" s="15"/>
      <c r="I68" s="15"/>
      <c r="J68" s="15"/>
      <c r="K68" s="15"/>
      <c r="L68" s="15"/>
      <c r="M68" s="15"/>
      <c r="N68" s="15"/>
      <c r="O68" s="15"/>
      <c r="P68" s="15"/>
      <c r="Q68" s="15"/>
      <c r="R68" s="15"/>
      <c r="S68" s="15"/>
      <c r="T68" s="15"/>
      <c r="U68" s="15"/>
      <c r="V68" s="15"/>
      <c r="W68" s="15"/>
      <c r="X68" s="15"/>
      <c r="Y68" s="15"/>
      <c r="Z68" s="15"/>
      <c r="AA68" s="15"/>
    </row>
    <row r="69" spans="1:27" ht="15" customHeight="1" x14ac:dyDescent="0.3">
      <c r="A69" s="13" t="s">
        <v>220</v>
      </c>
      <c r="B69" s="5" t="s">
        <v>216</v>
      </c>
      <c r="C69" s="8" t="s">
        <v>158</v>
      </c>
      <c r="D69" s="5" t="s">
        <v>151</v>
      </c>
      <c r="E69" s="5">
        <v>0</v>
      </c>
      <c r="F69" s="5"/>
      <c r="G69" s="5"/>
      <c r="H69" s="15"/>
      <c r="I69" s="15"/>
      <c r="J69" s="15"/>
      <c r="K69" s="15"/>
      <c r="L69" s="15"/>
      <c r="M69" s="15"/>
      <c r="N69" s="15"/>
      <c r="O69" s="15"/>
      <c r="P69" s="15"/>
      <c r="Q69" s="15"/>
      <c r="R69" s="15"/>
      <c r="S69" s="15"/>
      <c r="T69" s="15"/>
      <c r="U69" s="15"/>
      <c r="V69" s="15"/>
      <c r="W69" s="15"/>
      <c r="X69" s="15"/>
      <c r="Y69" s="15"/>
      <c r="Z69" s="15"/>
      <c r="AA69" s="15"/>
    </row>
    <row r="70" spans="1:27" ht="15" customHeight="1" x14ac:dyDescent="0.3">
      <c r="A70" s="13" t="s">
        <v>171</v>
      </c>
      <c r="B70" s="5" t="s">
        <v>216</v>
      </c>
      <c r="C70" s="6" t="s">
        <v>165</v>
      </c>
      <c r="D70" s="5" t="s">
        <v>139</v>
      </c>
      <c r="E70" s="5">
        <v>2</v>
      </c>
      <c r="F70" s="5" t="s">
        <v>81</v>
      </c>
      <c r="G70" s="5" t="s">
        <v>14</v>
      </c>
      <c r="H70" s="15"/>
      <c r="I70" s="16" t="s">
        <v>145</v>
      </c>
      <c r="J70" s="15"/>
      <c r="K70" s="15"/>
      <c r="L70" s="15"/>
      <c r="M70" s="15"/>
      <c r="N70" s="15"/>
      <c r="O70" s="15"/>
      <c r="P70" s="15"/>
      <c r="Q70" s="15"/>
      <c r="R70" s="15"/>
      <c r="S70" s="15"/>
      <c r="T70" s="15"/>
      <c r="U70" s="15"/>
      <c r="V70" s="15"/>
      <c r="W70" s="15"/>
      <c r="X70" s="14" t="s">
        <v>141</v>
      </c>
      <c r="Y70" s="15"/>
      <c r="Z70" s="15"/>
      <c r="AA70" s="15"/>
    </row>
    <row r="71" spans="1:27" ht="15" customHeight="1" x14ac:dyDescent="0.3">
      <c r="A71" s="13" t="s">
        <v>221</v>
      </c>
      <c r="B71" s="5" t="s">
        <v>222</v>
      </c>
      <c r="C71" s="9" t="s">
        <v>138</v>
      </c>
      <c r="D71" s="5" t="s">
        <v>139</v>
      </c>
      <c r="E71" s="5">
        <v>3</v>
      </c>
      <c r="F71" s="5" t="s">
        <v>169</v>
      </c>
      <c r="G71" s="5"/>
      <c r="H71" s="15"/>
      <c r="I71" s="15"/>
      <c r="J71" s="15"/>
      <c r="K71" s="15"/>
      <c r="L71" s="14" t="s">
        <v>141</v>
      </c>
      <c r="M71" s="15"/>
      <c r="N71" s="14" t="s">
        <v>141</v>
      </c>
      <c r="O71" s="15"/>
      <c r="P71" s="15"/>
      <c r="Q71" s="15"/>
      <c r="R71" s="15"/>
      <c r="S71" s="15"/>
      <c r="T71" s="15"/>
      <c r="U71" s="15"/>
      <c r="V71" s="15"/>
      <c r="W71" s="15"/>
      <c r="X71" s="15"/>
      <c r="Y71" s="15"/>
      <c r="Z71" s="14" t="s">
        <v>141</v>
      </c>
      <c r="AA71" s="15"/>
    </row>
    <row r="72" spans="1:27" ht="15" customHeight="1" x14ac:dyDescent="0.3">
      <c r="A72" s="13" t="s">
        <v>146</v>
      </c>
      <c r="B72" s="5" t="s">
        <v>222</v>
      </c>
      <c r="C72" s="9" t="s">
        <v>138</v>
      </c>
      <c r="D72" s="5" t="s">
        <v>139</v>
      </c>
      <c r="E72" s="5">
        <v>8</v>
      </c>
      <c r="F72" s="5" t="s">
        <v>147</v>
      </c>
      <c r="G72" s="5" t="s">
        <v>71</v>
      </c>
      <c r="H72" s="14" t="s">
        <v>141</v>
      </c>
      <c r="I72" s="14" t="s">
        <v>141</v>
      </c>
      <c r="J72" s="15"/>
      <c r="K72" s="14" t="s">
        <v>141</v>
      </c>
      <c r="L72" s="15"/>
      <c r="M72" s="15"/>
      <c r="N72" s="15"/>
      <c r="O72" s="14" t="s">
        <v>141</v>
      </c>
      <c r="P72" s="15"/>
      <c r="Q72" s="15"/>
      <c r="R72" s="15"/>
      <c r="S72" s="14" t="s">
        <v>141</v>
      </c>
      <c r="T72" s="15"/>
      <c r="U72" s="14" t="s">
        <v>141</v>
      </c>
      <c r="V72" s="16" t="s">
        <v>145</v>
      </c>
      <c r="W72" s="15"/>
      <c r="X72" s="15"/>
      <c r="Y72" s="14" t="s">
        <v>141</v>
      </c>
      <c r="Z72" s="15"/>
      <c r="AA72" s="15"/>
    </row>
    <row r="73" spans="1:27" ht="15" customHeight="1" x14ac:dyDescent="0.3">
      <c r="A73" s="13" t="s">
        <v>223</v>
      </c>
      <c r="B73" s="5" t="s">
        <v>222</v>
      </c>
      <c r="C73" s="9" t="s">
        <v>138</v>
      </c>
      <c r="D73" s="5" t="s">
        <v>139</v>
      </c>
      <c r="E73" s="5">
        <v>4</v>
      </c>
      <c r="F73" s="5" t="s">
        <v>224</v>
      </c>
      <c r="G73" s="5"/>
      <c r="H73" s="15"/>
      <c r="I73" s="15"/>
      <c r="J73" s="15"/>
      <c r="K73" s="15"/>
      <c r="L73" s="14" t="s">
        <v>141</v>
      </c>
      <c r="M73" s="15"/>
      <c r="N73" s="14" t="s">
        <v>141</v>
      </c>
      <c r="O73" s="15"/>
      <c r="P73" s="15"/>
      <c r="Q73" s="15"/>
      <c r="R73" s="15"/>
      <c r="S73" s="14" t="s">
        <v>141</v>
      </c>
      <c r="T73" s="15"/>
      <c r="U73" s="15"/>
      <c r="V73" s="15"/>
      <c r="W73" s="15"/>
      <c r="X73" s="15"/>
      <c r="Y73" s="15"/>
      <c r="Z73" s="14" t="s">
        <v>141</v>
      </c>
      <c r="AA73" s="15"/>
    </row>
    <row r="74" spans="1:27" ht="15" customHeight="1" x14ac:dyDescent="0.3">
      <c r="A74" s="13" t="s">
        <v>225</v>
      </c>
      <c r="B74" s="5" t="s">
        <v>222</v>
      </c>
      <c r="C74" s="9" t="s">
        <v>138</v>
      </c>
      <c r="D74" s="5" t="s">
        <v>143</v>
      </c>
      <c r="E74" s="5">
        <v>0</v>
      </c>
      <c r="F74" s="5"/>
      <c r="G74" s="5"/>
      <c r="H74" s="15"/>
      <c r="I74" s="15"/>
      <c r="J74" s="15"/>
      <c r="K74" s="15"/>
      <c r="L74" s="15"/>
      <c r="M74" s="15"/>
      <c r="N74" s="15"/>
      <c r="O74" s="15"/>
      <c r="P74" s="15"/>
      <c r="Q74" s="15"/>
      <c r="R74" s="15"/>
      <c r="S74" s="15"/>
      <c r="T74" s="15"/>
      <c r="U74" s="15"/>
      <c r="V74" s="15"/>
      <c r="W74" s="15"/>
      <c r="X74" s="15"/>
      <c r="Y74" s="15"/>
      <c r="Z74" s="15"/>
      <c r="AA74" s="15"/>
    </row>
    <row r="75" spans="1:27" ht="15" customHeight="1" x14ac:dyDescent="0.3">
      <c r="A75" s="13" t="s">
        <v>148</v>
      </c>
      <c r="B75" s="5" t="s">
        <v>222</v>
      </c>
      <c r="C75" s="8" t="s">
        <v>158</v>
      </c>
      <c r="D75" s="5" t="s">
        <v>139</v>
      </c>
      <c r="E75" s="5">
        <v>14</v>
      </c>
      <c r="F75" s="5" t="s">
        <v>149</v>
      </c>
      <c r="G75" s="5"/>
      <c r="H75" s="14" t="s">
        <v>141</v>
      </c>
      <c r="I75" s="14" t="s">
        <v>141</v>
      </c>
      <c r="J75" s="14" t="s">
        <v>141</v>
      </c>
      <c r="K75" s="15"/>
      <c r="L75" s="14" t="s">
        <v>141</v>
      </c>
      <c r="M75" s="14" t="s">
        <v>141</v>
      </c>
      <c r="N75" s="15"/>
      <c r="O75" s="15"/>
      <c r="P75" s="14" t="s">
        <v>141</v>
      </c>
      <c r="Q75" s="14" t="s">
        <v>141</v>
      </c>
      <c r="R75" s="14" t="s">
        <v>141</v>
      </c>
      <c r="S75" s="14" t="s">
        <v>141</v>
      </c>
      <c r="T75" s="14" t="s">
        <v>141</v>
      </c>
      <c r="U75" s="15"/>
      <c r="V75" s="14" t="s">
        <v>141</v>
      </c>
      <c r="W75" s="14" t="s">
        <v>141</v>
      </c>
      <c r="X75" s="14" t="s">
        <v>141</v>
      </c>
      <c r="Y75" s="15"/>
      <c r="Z75" s="14" t="s">
        <v>141</v>
      </c>
      <c r="AA75" s="15"/>
    </row>
    <row r="76" spans="1:27" ht="15" customHeight="1" x14ac:dyDescent="0.3">
      <c r="A76" s="13" t="s">
        <v>226</v>
      </c>
      <c r="B76" s="5" t="s">
        <v>222</v>
      </c>
      <c r="C76" s="9" t="s">
        <v>138</v>
      </c>
      <c r="D76" s="5" t="s">
        <v>151</v>
      </c>
      <c r="E76" s="5">
        <v>0</v>
      </c>
      <c r="F76" s="5"/>
      <c r="G76" s="5"/>
      <c r="H76" s="15"/>
      <c r="I76" s="15"/>
      <c r="J76" s="15"/>
      <c r="K76" s="15"/>
      <c r="L76" s="15"/>
      <c r="M76" s="15"/>
      <c r="N76" s="15"/>
      <c r="O76" s="15"/>
      <c r="P76" s="15"/>
      <c r="Q76" s="15"/>
      <c r="R76" s="15"/>
      <c r="S76" s="15"/>
      <c r="T76" s="15"/>
      <c r="U76" s="15"/>
      <c r="V76" s="15"/>
      <c r="W76" s="15"/>
      <c r="X76" s="15"/>
      <c r="Y76" s="15"/>
      <c r="Z76" s="15"/>
      <c r="AA76" s="15"/>
    </row>
    <row r="77" spans="1:27" ht="15" customHeight="1" x14ac:dyDescent="0.3">
      <c r="A77" s="13" t="s">
        <v>227</v>
      </c>
      <c r="B77" s="5" t="s">
        <v>222</v>
      </c>
      <c r="C77" s="9" t="s">
        <v>138</v>
      </c>
      <c r="D77" s="5" t="s">
        <v>151</v>
      </c>
      <c r="E77" s="5">
        <v>1</v>
      </c>
      <c r="F77" s="5" t="s">
        <v>26</v>
      </c>
      <c r="G77" s="5"/>
      <c r="H77" s="15"/>
      <c r="I77" s="15"/>
      <c r="J77" s="15"/>
      <c r="K77" s="15"/>
      <c r="L77" s="14" t="s">
        <v>141</v>
      </c>
      <c r="M77" s="15"/>
      <c r="N77" s="15"/>
      <c r="O77" s="15"/>
      <c r="P77" s="15"/>
      <c r="Q77" s="15"/>
      <c r="R77" s="15"/>
      <c r="S77" s="15"/>
      <c r="T77" s="15"/>
      <c r="U77" s="15"/>
      <c r="V77" s="15"/>
      <c r="W77" s="15"/>
      <c r="X77" s="15"/>
      <c r="Y77" s="15"/>
      <c r="Z77" s="15"/>
      <c r="AA77" s="15"/>
    </row>
    <row r="78" spans="1:27" ht="15" customHeight="1" x14ac:dyDescent="0.3">
      <c r="A78" s="13" t="s">
        <v>228</v>
      </c>
      <c r="B78" s="5" t="s">
        <v>222</v>
      </c>
      <c r="C78" s="9" t="s">
        <v>138</v>
      </c>
      <c r="D78" s="5" t="s">
        <v>151</v>
      </c>
      <c r="E78" s="5">
        <v>3</v>
      </c>
      <c r="F78" s="5" t="s">
        <v>229</v>
      </c>
      <c r="G78" s="5" t="s">
        <v>48</v>
      </c>
      <c r="H78" s="15"/>
      <c r="I78" s="15"/>
      <c r="J78" s="15"/>
      <c r="K78" s="15"/>
      <c r="L78" s="14" t="s">
        <v>141</v>
      </c>
      <c r="M78" s="15"/>
      <c r="N78" s="15"/>
      <c r="O78" s="15"/>
      <c r="P78" s="15"/>
      <c r="Q78" s="16" t="s">
        <v>145</v>
      </c>
      <c r="R78" s="15"/>
      <c r="S78" s="15"/>
      <c r="T78" s="15"/>
      <c r="U78" s="15"/>
      <c r="V78" s="15"/>
      <c r="W78" s="15"/>
      <c r="X78" s="15"/>
      <c r="Y78" s="15"/>
      <c r="Z78" s="14" t="s">
        <v>141</v>
      </c>
      <c r="AA78" s="15"/>
    </row>
    <row r="79" spans="1:27" ht="15" customHeight="1" x14ac:dyDescent="0.3">
      <c r="A79" s="13" t="s">
        <v>230</v>
      </c>
      <c r="B79" s="5" t="s">
        <v>222</v>
      </c>
      <c r="C79" s="9" t="s">
        <v>138</v>
      </c>
      <c r="D79" s="5" t="s">
        <v>151</v>
      </c>
      <c r="E79" s="5">
        <v>0</v>
      </c>
      <c r="F79" s="5"/>
      <c r="G79" s="5"/>
      <c r="H79" s="15"/>
      <c r="I79" s="15"/>
      <c r="J79" s="15"/>
      <c r="K79" s="15"/>
      <c r="L79" s="15"/>
      <c r="M79" s="15"/>
      <c r="N79" s="15"/>
      <c r="O79" s="15"/>
      <c r="P79" s="15"/>
      <c r="Q79" s="15"/>
      <c r="R79" s="15"/>
      <c r="S79" s="15"/>
      <c r="T79" s="15"/>
      <c r="U79" s="15"/>
      <c r="V79" s="15"/>
      <c r="W79" s="15"/>
      <c r="X79" s="15"/>
      <c r="Y79" s="15"/>
      <c r="Z79" s="15"/>
      <c r="AA79" s="15"/>
    </row>
    <row r="80" spans="1:27" ht="15" customHeight="1" x14ac:dyDescent="0.3">
      <c r="A80" s="13" t="s">
        <v>168</v>
      </c>
      <c r="B80" s="5" t="s">
        <v>222</v>
      </c>
      <c r="C80" s="9" t="s">
        <v>138</v>
      </c>
      <c r="D80" s="5" t="s">
        <v>139</v>
      </c>
      <c r="E80" s="5">
        <v>5</v>
      </c>
      <c r="F80" s="5" t="s">
        <v>169</v>
      </c>
      <c r="G80" s="5" t="s">
        <v>170</v>
      </c>
      <c r="H80" s="16" t="s">
        <v>145</v>
      </c>
      <c r="I80" s="16" t="s">
        <v>145</v>
      </c>
      <c r="J80" s="15"/>
      <c r="K80" s="15"/>
      <c r="L80" s="14" t="s">
        <v>141</v>
      </c>
      <c r="M80" s="15"/>
      <c r="N80" s="14" t="s">
        <v>141</v>
      </c>
      <c r="O80" s="15"/>
      <c r="P80" s="15"/>
      <c r="Q80" s="15"/>
      <c r="R80" s="15"/>
      <c r="S80" s="15"/>
      <c r="T80" s="15"/>
      <c r="U80" s="15"/>
      <c r="V80" s="15"/>
      <c r="W80" s="15"/>
      <c r="X80" s="15"/>
      <c r="Y80" s="15"/>
      <c r="Z80" s="14" t="s">
        <v>141</v>
      </c>
      <c r="AA80" s="15"/>
    </row>
    <row r="81" spans="1:27" ht="15" customHeight="1" x14ac:dyDescent="0.3">
      <c r="A81" s="13" t="s">
        <v>179</v>
      </c>
      <c r="B81" s="5" t="s">
        <v>222</v>
      </c>
      <c r="C81" s="8" t="s">
        <v>158</v>
      </c>
      <c r="D81" s="5" t="s">
        <v>139</v>
      </c>
      <c r="E81" s="5">
        <v>13</v>
      </c>
      <c r="F81" s="5" t="s">
        <v>180</v>
      </c>
      <c r="G81" s="5" t="s">
        <v>181</v>
      </c>
      <c r="H81" s="16" t="s">
        <v>145</v>
      </c>
      <c r="I81" s="14" t="s">
        <v>141</v>
      </c>
      <c r="J81" s="16" t="s">
        <v>145</v>
      </c>
      <c r="K81" s="16" t="s">
        <v>145</v>
      </c>
      <c r="L81" s="14" t="s">
        <v>141</v>
      </c>
      <c r="M81" s="14" t="s">
        <v>141</v>
      </c>
      <c r="N81" s="16" t="s">
        <v>145</v>
      </c>
      <c r="O81" s="15"/>
      <c r="P81" s="15"/>
      <c r="Q81" s="16" t="s">
        <v>145</v>
      </c>
      <c r="R81" s="15"/>
      <c r="S81" s="14" t="s">
        <v>141</v>
      </c>
      <c r="T81" s="15"/>
      <c r="U81" s="16" t="s">
        <v>145</v>
      </c>
      <c r="V81" s="16" t="s">
        <v>145</v>
      </c>
      <c r="W81" s="15"/>
      <c r="X81" s="16" t="s">
        <v>145</v>
      </c>
      <c r="Y81" s="15"/>
      <c r="Z81" s="14" t="s">
        <v>141</v>
      </c>
      <c r="AA81" s="15"/>
    </row>
    <row r="82" spans="1:27" ht="15" customHeight="1" x14ac:dyDescent="0.3">
      <c r="A82" s="13" t="s">
        <v>231</v>
      </c>
      <c r="B82" s="5" t="s">
        <v>222</v>
      </c>
      <c r="C82" s="8" t="s">
        <v>158</v>
      </c>
      <c r="D82" s="5" t="s">
        <v>139</v>
      </c>
      <c r="E82" s="5">
        <v>1</v>
      </c>
      <c r="F82" s="5"/>
      <c r="G82" s="5" t="s">
        <v>26</v>
      </c>
      <c r="H82" s="15"/>
      <c r="I82" s="15"/>
      <c r="J82" s="15"/>
      <c r="K82" s="15"/>
      <c r="L82" s="16" t="s">
        <v>145</v>
      </c>
      <c r="M82" s="15"/>
      <c r="N82" s="15"/>
      <c r="O82" s="15"/>
      <c r="P82" s="15"/>
      <c r="Q82" s="15"/>
      <c r="R82" s="15"/>
      <c r="S82" s="15"/>
      <c r="T82" s="15"/>
      <c r="U82" s="15"/>
      <c r="V82" s="15"/>
      <c r="W82" s="15"/>
      <c r="X82" s="15"/>
      <c r="Y82" s="15"/>
      <c r="Z82" s="15"/>
      <c r="AA82" s="15"/>
    </row>
    <row r="83" spans="1:27" ht="15" customHeight="1" x14ac:dyDescent="0.3">
      <c r="A83" s="13" t="s">
        <v>232</v>
      </c>
      <c r="B83" s="5" t="s">
        <v>222</v>
      </c>
      <c r="C83" s="8" t="s">
        <v>158</v>
      </c>
      <c r="D83" s="5" t="s">
        <v>139</v>
      </c>
      <c r="E83" s="5">
        <v>2</v>
      </c>
      <c r="F83" s="5"/>
      <c r="G83" s="5" t="s">
        <v>233</v>
      </c>
      <c r="H83" s="15"/>
      <c r="I83" s="15"/>
      <c r="J83" s="15"/>
      <c r="K83" s="15"/>
      <c r="L83" s="16" t="s">
        <v>145</v>
      </c>
      <c r="M83" s="15"/>
      <c r="N83" s="15"/>
      <c r="O83" s="15"/>
      <c r="P83" s="15"/>
      <c r="Q83" s="15"/>
      <c r="R83" s="15"/>
      <c r="S83" s="15"/>
      <c r="T83" s="15"/>
      <c r="U83" s="15"/>
      <c r="V83" s="15"/>
      <c r="W83" s="15"/>
      <c r="X83" s="15"/>
      <c r="Y83" s="16" t="s">
        <v>145</v>
      </c>
      <c r="Z83" s="15"/>
      <c r="AA83" s="15"/>
    </row>
    <row r="84" spans="1:27" ht="15" customHeight="1" x14ac:dyDescent="0.3">
      <c r="A84" s="13" t="s">
        <v>234</v>
      </c>
      <c r="B84" s="5" t="s">
        <v>222</v>
      </c>
      <c r="C84" s="8" t="s">
        <v>158</v>
      </c>
      <c r="D84" s="5" t="s">
        <v>201</v>
      </c>
      <c r="E84" s="5">
        <v>1</v>
      </c>
      <c r="F84" s="5"/>
      <c r="G84" s="5" t="s">
        <v>26</v>
      </c>
      <c r="H84" s="15"/>
      <c r="I84" s="15"/>
      <c r="J84" s="15"/>
      <c r="K84" s="15"/>
      <c r="L84" s="16" t="s">
        <v>145</v>
      </c>
      <c r="M84" s="15"/>
      <c r="N84" s="15"/>
      <c r="O84" s="15"/>
      <c r="P84" s="15"/>
      <c r="Q84" s="15"/>
      <c r="R84" s="15"/>
      <c r="S84" s="15"/>
      <c r="T84" s="15"/>
      <c r="U84" s="15"/>
      <c r="V84" s="15"/>
      <c r="W84" s="15"/>
      <c r="X84" s="15"/>
      <c r="Y84" s="15"/>
      <c r="Z84" s="15"/>
      <c r="AA84" s="15"/>
    </row>
    <row r="85" spans="1:27" ht="15" customHeight="1" x14ac:dyDescent="0.3">
      <c r="A85" s="13" t="s">
        <v>235</v>
      </c>
      <c r="B85" s="5" t="s">
        <v>222</v>
      </c>
      <c r="C85" s="8" t="s">
        <v>158</v>
      </c>
      <c r="D85" s="5" t="s">
        <v>139</v>
      </c>
      <c r="E85" s="5">
        <v>1</v>
      </c>
      <c r="F85" s="5" t="s">
        <v>32</v>
      </c>
      <c r="G85" s="5"/>
      <c r="H85" s="15"/>
      <c r="I85" s="15"/>
      <c r="J85" s="15"/>
      <c r="K85" s="15"/>
      <c r="L85" s="15"/>
      <c r="M85" s="15"/>
      <c r="N85" s="14" t="s">
        <v>141</v>
      </c>
      <c r="O85" s="15"/>
      <c r="P85" s="15"/>
      <c r="Q85" s="15"/>
      <c r="R85" s="15"/>
      <c r="S85" s="15"/>
      <c r="T85" s="15"/>
      <c r="U85" s="15"/>
      <c r="V85" s="15"/>
      <c r="W85" s="15"/>
      <c r="X85" s="15"/>
      <c r="Y85" s="15"/>
      <c r="Z85" s="15"/>
      <c r="AA85" s="15"/>
    </row>
    <row r="86" spans="1:27" ht="15" customHeight="1" x14ac:dyDescent="0.3">
      <c r="A86" s="13" t="s">
        <v>236</v>
      </c>
      <c r="B86" s="5" t="s">
        <v>222</v>
      </c>
      <c r="C86" s="6" t="s">
        <v>165</v>
      </c>
      <c r="D86" s="5" t="s">
        <v>151</v>
      </c>
      <c r="E86" s="5">
        <v>1</v>
      </c>
      <c r="F86" s="5" t="s">
        <v>32</v>
      </c>
      <c r="G86" s="5"/>
      <c r="H86" s="15"/>
      <c r="I86" s="15"/>
      <c r="J86" s="15"/>
      <c r="K86" s="15"/>
      <c r="L86" s="15"/>
      <c r="M86" s="15"/>
      <c r="N86" s="14" t="s">
        <v>141</v>
      </c>
      <c r="O86" s="15"/>
      <c r="P86" s="15"/>
      <c r="Q86" s="15"/>
      <c r="R86" s="15"/>
      <c r="S86" s="15"/>
      <c r="T86" s="15"/>
      <c r="U86" s="15"/>
      <c r="V86" s="15"/>
      <c r="W86" s="15"/>
      <c r="X86" s="15"/>
      <c r="Y86" s="15"/>
      <c r="Z86" s="15"/>
      <c r="AA86" s="15"/>
    </row>
    <row r="87" spans="1:27" ht="15" customHeight="1" x14ac:dyDescent="0.3">
      <c r="A87" s="13" t="s">
        <v>237</v>
      </c>
      <c r="B87" s="5" t="s">
        <v>222</v>
      </c>
      <c r="C87" s="6" t="s">
        <v>165</v>
      </c>
      <c r="D87" s="5" t="s">
        <v>174</v>
      </c>
      <c r="E87" s="5">
        <v>1</v>
      </c>
      <c r="F87" s="5" t="s">
        <v>32</v>
      </c>
      <c r="G87" s="5"/>
      <c r="H87" s="15"/>
      <c r="I87" s="15"/>
      <c r="J87" s="15"/>
      <c r="K87" s="15"/>
      <c r="L87" s="15"/>
      <c r="M87" s="15"/>
      <c r="N87" s="14" t="s">
        <v>141</v>
      </c>
      <c r="O87" s="15"/>
      <c r="P87" s="15"/>
      <c r="Q87" s="15"/>
      <c r="R87" s="15"/>
      <c r="S87" s="15"/>
      <c r="T87" s="15"/>
      <c r="U87" s="15"/>
      <c r="V87" s="15"/>
      <c r="W87" s="15"/>
      <c r="X87" s="15"/>
      <c r="Y87" s="15"/>
      <c r="Z87" s="15"/>
      <c r="AA87" s="15"/>
    </row>
    <row r="88" spans="1:27" ht="15" customHeight="1" x14ac:dyDescent="0.3">
      <c r="A88" s="13" t="s">
        <v>238</v>
      </c>
      <c r="B88" s="5" t="s">
        <v>222</v>
      </c>
      <c r="C88" s="6" t="s">
        <v>165</v>
      </c>
      <c r="D88" s="5" t="s">
        <v>201</v>
      </c>
      <c r="E88" s="5">
        <v>1</v>
      </c>
      <c r="F88" s="5"/>
      <c r="G88" s="5" t="s">
        <v>26</v>
      </c>
      <c r="H88" s="15"/>
      <c r="I88" s="15"/>
      <c r="J88" s="15"/>
      <c r="K88" s="15"/>
      <c r="L88" s="16" t="s">
        <v>145</v>
      </c>
      <c r="M88" s="15"/>
      <c r="N88" s="15"/>
      <c r="O88" s="15"/>
      <c r="P88" s="15"/>
      <c r="Q88" s="15"/>
      <c r="R88" s="15"/>
      <c r="S88" s="15"/>
      <c r="T88" s="15"/>
      <c r="U88" s="15"/>
      <c r="V88" s="15"/>
      <c r="W88" s="15"/>
      <c r="X88" s="15"/>
      <c r="Y88" s="15"/>
      <c r="Z88" s="15"/>
      <c r="AA88" s="15"/>
    </row>
    <row r="89" spans="1:27" ht="15" customHeight="1" x14ac:dyDescent="0.3">
      <c r="A89" s="13" t="s">
        <v>239</v>
      </c>
      <c r="B89" s="5" t="s">
        <v>222</v>
      </c>
      <c r="C89" s="6" t="s">
        <v>165</v>
      </c>
      <c r="D89" s="5" t="s">
        <v>240</v>
      </c>
      <c r="E89" s="5">
        <v>0</v>
      </c>
      <c r="F89" s="5"/>
      <c r="G89" s="5"/>
      <c r="H89" s="15"/>
      <c r="I89" s="15"/>
      <c r="J89" s="15"/>
      <c r="K89" s="15"/>
      <c r="L89" s="15"/>
      <c r="M89" s="15"/>
      <c r="N89" s="15"/>
      <c r="O89" s="15"/>
      <c r="P89" s="15"/>
      <c r="Q89" s="15"/>
      <c r="R89" s="15"/>
      <c r="S89" s="15"/>
      <c r="T89" s="15"/>
      <c r="U89" s="15"/>
      <c r="V89" s="15"/>
      <c r="W89" s="15"/>
      <c r="X89" s="15"/>
      <c r="Y89" s="15"/>
      <c r="Z89" s="15"/>
      <c r="AA89" s="15"/>
    </row>
    <row r="90" spans="1:27" ht="15" customHeight="1" x14ac:dyDescent="0.3">
      <c r="A90" s="13" t="s">
        <v>176</v>
      </c>
      <c r="B90" s="5" t="s">
        <v>241</v>
      </c>
      <c r="C90" s="9" t="s">
        <v>138</v>
      </c>
      <c r="D90" s="5" t="s">
        <v>139</v>
      </c>
      <c r="E90" s="5">
        <v>1</v>
      </c>
      <c r="F90" s="5" t="s">
        <v>37</v>
      </c>
      <c r="G90" s="5"/>
      <c r="H90" s="15"/>
      <c r="I90" s="15"/>
      <c r="J90" s="15"/>
      <c r="K90" s="15"/>
      <c r="L90" s="15"/>
      <c r="M90" s="15"/>
      <c r="N90" s="15"/>
      <c r="O90" s="14" t="s">
        <v>141</v>
      </c>
      <c r="P90" s="15"/>
      <c r="Q90" s="15"/>
      <c r="R90" s="15"/>
      <c r="S90" s="15"/>
      <c r="T90" s="15"/>
      <c r="U90" s="15"/>
      <c r="V90" s="15"/>
      <c r="W90" s="15"/>
      <c r="X90" s="15"/>
      <c r="Y90" s="15"/>
      <c r="Z90" s="15"/>
      <c r="AA90" s="15"/>
    </row>
    <row r="91" spans="1:27" ht="15" customHeight="1" x14ac:dyDescent="0.3">
      <c r="A91" s="13" t="s">
        <v>146</v>
      </c>
      <c r="B91" s="5" t="s">
        <v>241</v>
      </c>
      <c r="C91" s="9" t="s">
        <v>138</v>
      </c>
      <c r="D91" s="5" t="s">
        <v>139</v>
      </c>
      <c r="E91" s="5">
        <v>8</v>
      </c>
      <c r="F91" s="5" t="s">
        <v>147</v>
      </c>
      <c r="G91" s="5" t="s">
        <v>71</v>
      </c>
      <c r="H91" s="14" t="s">
        <v>141</v>
      </c>
      <c r="I91" s="14" t="s">
        <v>141</v>
      </c>
      <c r="J91" s="15"/>
      <c r="K91" s="14" t="s">
        <v>141</v>
      </c>
      <c r="L91" s="15"/>
      <c r="M91" s="15"/>
      <c r="N91" s="15"/>
      <c r="O91" s="14" t="s">
        <v>141</v>
      </c>
      <c r="P91" s="15"/>
      <c r="Q91" s="15"/>
      <c r="R91" s="15"/>
      <c r="S91" s="14" t="s">
        <v>141</v>
      </c>
      <c r="T91" s="15"/>
      <c r="U91" s="14" t="s">
        <v>141</v>
      </c>
      <c r="V91" s="16" t="s">
        <v>145</v>
      </c>
      <c r="W91" s="15"/>
      <c r="X91" s="15"/>
      <c r="Y91" s="14" t="s">
        <v>141</v>
      </c>
      <c r="Z91" s="15"/>
      <c r="AA91" s="15"/>
    </row>
    <row r="92" spans="1:27" ht="15" customHeight="1" x14ac:dyDescent="0.3">
      <c r="A92" s="13" t="s">
        <v>242</v>
      </c>
      <c r="B92" s="5" t="s">
        <v>241</v>
      </c>
      <c r="C92" s="9" t="s">
        <v>138</v>
      </c>
      <c r="D92" s="5" t="s">
        <v>143</v>
      </c>
      <c r="E92" s="5">
        <v>1</v>
      </c>
      <c r="F92" s="5"/>
      <c r="G92" s="5" t="s">
        <v>37</v>
      </c>
      <c r="H92" s="15"/>
      <c r="I92" s="15"/>
      <c r="J92" s="15"/>
      <c r="K92" s="15"/>
      <c r="L92" s="15"/>
      <c r="M92" s="15"/>
      <c r="N92" s="15"/>
      <c r="O92" s="16" t="s">
        <v>145</v>
      </c>
      <c r="P92" s="15"/>
      <c r="Q92" s="15"/>
      <c r="R92" s="15"/>
      <c r="S92" s="15"/>
      <c r="T92" s="15"/>
      <c r="U92" s="15"/>
      <c r="V92" s="15"/>
      <c r="W92" s="15"/>
      <c r="X92" s="15"/>
      <c r="Y92" s="15"/>
      <c r="Z92" s="15"/>
      <c r="AA92" s="15"/>
    </row>
    <row r="93" spans="1:27" ht="15" customHeight="1" x14ac:dyDescent="0.3">
      <c r="A93" s="13" t="s">
        <v>243</v>
      </c>
      <c r="B93" s="5" t="s">
        <v>241</v>
      </c>
      <c r="C93" s="9" t="s">
        <v>138</v>
      </c>
      <c r="D93" s="5" t="s">
        <v>143</v>
      </c>
      <c r="E93" s="5">
        <v>0</v>
      </c>
      <c r="F93" s="5"/>
      <c r="G93" s="5"/>
      <c r="H93" s="15"/>
      <c r="I93" s="15"/>
      <c r="J93" s="15"/>
      <c r="K93" s="15"/>
      <c r="L93" s="15"/>
      <c r="M93" s="15"/>
      <c r="N93" s="15"/>
      <c r="O93" s="15"/>
      <c r="P93" s="15"/>
      <c r="Q93" s="15"/>
      <c r="R93" s="15"/>
      <c r="S93" s="15"/>
      <c r="T93" s="15"/>
      <c r="U93" s="15"/>
      <c r="V93" s="15"/>
      <c r="W93" s="15"/>
      <c r="X93" s="15"/>
      <c r="Y93" s="15"/>
      <c r="Z93" s="15"/>
      <c r="AA93" s="15"/>
    </row>
    <row r="94" spans="1:27" ht="15" customHeight="1" x14ac:dyDescent="0.3">
      <c r="A94" s="13" t="s">
        <v>244</v>
      </c>
      <c r="B94" s="5" t="s">
        <v>241</v>
      </c>
      <c r="C94" s="9" t="s">
        <v>138</v>
      </c>
      <c r="D94" s="5" t="s">
        <v>151</v>
      </c>
      <c r="E94" s="5">
        <v>1</v>
      </c>
      <c r="F94" s="5" t="s">
        <v>37</v>
      </c>
      <c r="G94" s="5"/>
      <c r="H94" s="15"/>
      <c r="I94" s="15"/>
      <c r="J94" s="15"/>
      <c r="K94" s="15"/>
      <c r="L94" s="15"/>
      <c r="M94" s="15"/>
      <c r="N94" s="15"/>
      <c r="O94" s="14" t="s">
        <v>141</v>
      </c>
      <c r="P94" s="15"/>
      <c r="Q94" s="15"/>
      <c r="R94" s="15"/>
      <c r="S94" s="15"/>
      <c r="T94" s="15"/>
      <c r="U94" s="15"/>
      <c r="V94" s="15"/>
      <c r="W94" s="15"/>
      <c r="X94" s="15"/>
      <c r="Y94" s="15"/>
      <c r="Z94" s="15"/>
      <c r="AA94" s="15"/>
    </row>
    <row r="95" spans="1:27" ht="15" customHeight="1" x14ac:dyDescent="0.3">
      <c r="A95" s="13" t="s">
        <v>245</v>
      </c>
      <c r="B95" s="5" t="s">
        <v>241</v>
      </c>
      <c r="C95" s="9" t="s">
        <v>138</v>
      </c>
      <c r="D95" s="5" t="s">
        <v>139</v>
      </c>
      <c r="E95" s="5">
        <v>1</v>
      </c>
      <c r="F95" s="5" t="s">
        <v>37</v>
      </c>
      <c r="G95" s="5"/>
      <c r="H95" s="15"/>
      <c r="I95" s="15"/>
      <c r="J95" s="15"/>
      <c r="K95" s="15"/>
      <c r="L95" s="15"/>
      <c r="M95" s="15"/>
      <c r="N95" s="15"/>
      <c r="O95" s="14" t="s">
        <v>141</v>
      </c>
      <c r="P95" s="15"/>
      <c r="Q95" s="15"/>
      <c r="R95" s="15"/>
      <c r="S95" s="15"/>
      <c r="T95" s="15"/>
      <c r="U95" s="15"/>
      <c r="V95" s="15"/>
      <c r="W95" s="15"/>
      <c r="X95" s="15"/>
      <c r="Y95" s="15"/>
      <c r="Z95" s="15"/>
      <c r="AA95" s="15"/>
    </row>
    <row r="96" spans="1:27" ht="15" customHeight="1" x14ac:dyDescent="0.3">
      <c r="A96" s="13" t="s">
        <v>246</v>
      </c>
      <c r="B96" s="5" t="s">
        <v>241</v>
      </c>
      <c r="C96" s="8" t="s">
        <v>158</v>
      </c>
      <c r="D96" s="5" t="s">
        <v>151</v>
      </c>
      <c r="E96" s="5">
        <v>1</v>
      </c>
      <c r="F96" s="5"/>
      <c r="G96" s="5" t="s">
        <v>37</v>
      </c>
      <c r="H96" s="15"/>
      <c r="I96" s="15"/>
      <c r="J96" s="15"/>
      <c r="K96" s="15"/>
      <c r="L96" s="15"/>
      <c r="M96" s="15"/>
      <c r="N96" s="15"/>
      <c r="O96" s="16" t="s">
        <v>145</v>
      </c>
      <c r="P96" s="15"/>
      <c r="Q96" s="15"/>
      <c r="R96" s="15"/>
      <c r="S96" s="15"/>
      <c r="T96" s="15"/>
      <c r="U96" s="15"/>
      <c r="V96" s="15"/>
      <c r="W96" s="15"/>
      <c r="X96" s="15"/>
      <c r="Y96" s="15"/>
      <c r="Z96" s="15"/>
      <c r="AA96" s="15"/>
    </row>
    <row r="97" spans="1:27" ht="15" customHeight="1" x14ac:dyDescent="0.3">
      <c r="A97" s="13" t="s">
        <v>247</v>
      </c>
      <c r="B97" s="5" t="s">
        <v>241</v>
      </c>
      <c r="C97" s="8" t="s">
        <v>158</v>
      </c>
      <c r="D97" s="5" t="s">
        <v>139</v>
      </c>
      <c r="E97" s="5">
        <v>0</v>
      </c>
      <c r="F97" s="5"/>
      <c r="G97" s="5"/>
      <c r="H97" s="15"/>
      <c r="I97" s="15"/>
      <c r="J97" s="15"/>
      <c r="K97" s="15"/>
      <c r="L97" s="15"/>
      <c r="M97" s="15"/>
      <c r="N97" s="15"/>
      <c r="O97" s="15"/>
      <c r="P97" s="15"/>
      <c r="Q97" s="15"/>
      <c r="R97" s="15"/>
      <c r="S97" s="15"/>
      <c r="T97" s="15"/>
      <c r="U97" s="15"/>
      <c r="V97" s="15"/>
      <c r="W97" s="15"/>
      <c r="X97" s="15"/>
      <c r="Y97" s="15"/>
      <c r="Z97" s="15"/>
      <c r="AA97" s="15"/>
    </row>
    <row r="98" spans="1:27" ht="15" customHeight="1" x14ac:dyDescent="0.3">
      <c r="A98" s="13" t="s">
        <v>248</v>
      </c>
      <c r="B98" s="5" t="s">
        <v>241</v>
      </c>
      <c r="C98" s="8" t="s">
        <v>158</v>
      </c>
      <c r="D98" s="5" t="s">
        <v>151</v>
      </c>
      <c r="E98" s="5">
        <v>0</v>
      </c>
      <c r="F98" s="5"/>
      <c r="G98" s="5"/>
      <c r="H98" s="15"/>
      <c r="I98" s="15"/>
      <c r="J98" s="15"/>
      <c r="K98" s="15"/>
      <c r="L98" s="15"/>
      <c r="M98" s="15"/>
      <c r="N98" s="15"/>
      <c r="O98" s="15"/>
      <c r="P98" s="15"/>
      <c r="Q98" s="15"/>
      <c r="R98" s="15"/>
      <c r="S98" s="15"/>
      <c r="T98" s="15"/>
      <c r="U98" s="15"/>
      <c r="V98" s="15"/>
      <c r="W98" s="15"/>
      <c r="X98" s="15"/>
      <c r="Y98" s="15"/>
      <c r="Z98" s="15"/>
      <c r="AA98" s="15"/>
    </row>
    <row r="99" spans="1:27" ht="15" customHeight="1" x14ac:dyDescent="0.3">
      <c r="A99" s="13" t="s">
        <v>249</v>
      </c>
      <c r="B99" s="5" t="s">
        <v>241</v>
      </c>
      <c r="C99" s="8" t="s">
        <v>158</v>
      </c>
      <c r="D99" s="5" t="s">
        <v>174</v>
      </c>
      <c r="E99" s="5">
        <v>1</v>
      </c>
      <c r="F99" s="5"/>
      <c r="G99" s="5" t="s">
        <v>37</v>
      </c>
      <c r="H99" s="15"/>
      <c r="I99" s="15"/>
      <c r="J99" s="15"/>
      <c r="K99" s="15"/>
      <c r="L99" s="15"/>
      <c r="M99" s="15"/>
      <c r="N99" s="15"/>
      <c r="O99" s="16" t="s">
        <v>145</v>
      </c>
      <c r="P99" s="15"/>
      <c r="Q99" s="15"/>
      <c r="R99" s="15"/>
      <c r="S99" s="15"/>
      <c r="T99" s="15"/>
      <c r="U99" s="15"/>
      <c r="V99" s="15"/>
      <c r="W99" s="15"/>
      <c r="X99" s="15"/>
      <c r="Y99" s="15"/>
      <c r="Z99" s="15"/>
      <c r="AA99" s="15"/>
    </row>
    <row r="100" spans="1:27" ht="15" customHeight="1" x14ac:dyDescent="0.3">
      <c r="A100" s="13" t="s">
        <v>250</v>
      </c>
      <c r="B100" s="5" t="s">
        <v>241</v>
      </c>
      <c r="C100" s="6" t="s">
        <v>165</v>
      </c>
      <c r="D100" s="5" t="s">
        <v>139</v>
      </c>
      <c r="E100" s="5">
        <v>0</v>
      </c>
      <c r="F100" s="5"/>
      <c r="G100" s="5"/>
      <c r="H100" s="15"/>
      <c r="I100" s="15"/>
      <c r="J100" s="15"/>
      <c r="K100" s="15"/>
      <c r="L100" s="15"/>
      <c r="M100" s="15"/>
      <c r="N100" s="15"/>
      <c r="O100" s="15"/>
      <c r="P100" s="15"/>
      <c r="Q100" s="15"/>
      <c r="R100" s="15"/>
      <c r="S100" s="15"/>
      <c r="T100" s="15"/>
      <c r="U100" s="15"/>
      <c r="V100" s="15"/>
      <c r="W100" s="15"/>
      <c r="X100" s="15"/>
      <c r="Y100" s="15"/>
      <c r="Z100" s="15"/>
      <c r="AA100" s="15"/>
    </row>
    <row r="101" spans="1:27" ht="15" customHeight="1" x14ac:dyDescent="0.3">
      <c r="A101" s="13" t="s">
        <v>251</v>
      </c>
      <c r="B101" s="5" t="s">
        <v>241</v>
      </c>
      <c r="C101" s="8" t="s">
        <v>158</v>
      </c>
      <c r="D101" s="5" t="s">
        <v>139</v>
      </c>
      <c r="E101" s="5">
        <v>0</v>
      </c>
      <c r="F101" s="5"/>
      <c r="G101" s="5"/>
      <c r="H101" s="15"/>
      <c r="I101" s="15"/>
      <c r="J101" s="15"/>
      <c r="K101" s="15"/>
      <c r="L101" s="15"/>
      <c r="M101" s="15"/>
      <c r="N101" s="15"/>
      <c r="O101" s="15"/>
      <c r="P101" s="15"/>
      <c r="Q101" s="15"/>
      <c r="R101" s="15"/>
      <c r="S101" s="15"/>
      <c r="T101" s="15"/>
      <c r="U101" s="15"/>
      <c r="V101" s="15"/>
      <c r="W101" s="15"/>
      <c r="X101" s="15"/>
      <c r="Y101" s="15"/>
      <c r="Z101" s="15"/>
      <c r="AA101" s="15"/>
    </row>
    <row r="102" spans="1:27" ht="15" customHeight="1" x14ac:dyDescent="0.3">
      <c r="A102" s="13" t="s">
        <v>168</v>
      </c>
      <c r="B102" s="5" t="s">
        <v>252</v>
      </c>
      <c r="C102" s="9" t="s">
        <v>138</v>
      </c>
      <c r="D102" s="5" t="s">
        <v>139</v>
      </c>
      <c r="E102" s="5">
        <v>5</v>
      </c>
      <c r="F102" s="5" t="s">
        <v>169</v>
      </c>
      <c r="G102" s="5" t="s">
        <v>170</v>
      </c>
      <c r="H102" s="16" t="s">
        <v>145</v>
      </c>
      <c r="I102" s="16" t="s">
        <v>145</v>
      </c>
      <c r="J102" s="15"/>
      <c r="K102" s="15"/>
      <c r="L102" s="14" t="s">
        <v>141</v>
      </c>
      <c r="M102" s="15"/>
      <c r="N102" s="14" t="s">
        <v>141</v>
      </c>
      <c r="O102" s="15"/>
      <c r="P102" s="15"/>
      <c r="Q102" s="15"/>
      <c r="R102" s="15"/>
      <c r="S102" s="15"/>
      <c r="T102" s="15"/>
      <c r="U102" s="15"/>
      <c r="V102" s="15"/>
      <c r="W102" s="15"/>
      <c r="X102" s="15"/>
      <c r="Y102" s="15"/>
      <c r="Z102" s="14" t="s">
        <v>141</v>
      </c>
      <c r="AA102" s="15"/>
    </row>
    <row r="103" spans="1:27" ht="15" customHeight="1" x14ac:dyDescent="0.3">
      <c r="A103" s="13" t="s">
        <v>253</v>
      </c>
      <c r="B103" s="5" t="s">
        <v>252</v>
      </c>
      <c r="C103" s="9" t="s">
        <v>138</v>
      </c>
      <c r="D103" s="5" t="s">
        <v>139</v>
      </c>
      <c r="E103" s="5">
        <v>0</v>
      </c>
      <c r="F103" s="5"/>
      <c r="G103" s="5"/>
      <c r="H103" s="15"/>
      <c r="I103" s="15"/>
      <c r="J103" s="15"/>
      <c r="K103" s="15"/>
      <c r="L103" s="15"/>
      <c r="M103" s="15"/>
      <c r="N103" s="15"/>
      <c r="O103" s="15"/>
      <c r="P103" s="15"/>
      <c r="Q103" s="15"/>
      <c r="R103" s="15"/>
      <c r="S103" s="15"/>
      <c r="T103" s="15"/>
      <c r="U103" s="15"/>
      <c r="V103" s="15"/>
      <c r="W103" s="15"/>
      <c r="X103" s="15"/>
      <c r="Y103" s="15"/>
      <c r="Z103" s="15"/>
      <c r="AA103" s="15"/>
    </row>
    <row r="104" spans="1:27" ht="15" customHeight="1" x14ac:dyDescent="0.3">
      <c r="A104" s="13" t="s">
        <v>254</v>
      </c>
      <c r="B104" s="5" t="s">
        <v>252</v>
      </c>
      <c r="C104" s="8" t="s">
        <v>158</v>
      </c>
      <c r="D104" s="5" t="s">
        <v>139</v>
      </c>
      <c r="E104" s="5">
        <v>1</v>
      </c>
      <c r="F104" s="5"/>
      <c r="G104" s="5" t="s">
        <v>91</v>
      </c>
      <c r="H104" s="15"/>
      <c r="I104" s="15"/>
      <c r="J104" s="15"/>
      <c r="K104" s="15"/>
      <c r="L104" s="15"/>
      <c r="M104" s="15"/>
      <c r="N104" s="15"/>
      <c r="O104" s="15"/>
      <c r="P104" s="15"/>
      <c r="Q104" s="15"/>
      <c r="R104" s="15"/>
      <c r="S104" s="15"/>
      <c r="T104" s="15"/>
      <c r="U104" s="15"/>
      <c r="V104" s="15"/>
      <c r="W104" s="15"/>
      <c r="X104" s="15"/>
      <c r="Y104" s="15"/>
      <c r="Z104" s="16" t="s">
        <v>145</v>
      </c>
      <c r="AA104" s="15"/>
    </row>
    <row r="105" spans="1:27" ht="15" customHeight="1" x14ac:dyDescent="0.3">
      <c r="A105" s="13" t="s">
        <v>255</v>
      </c>
      <c r="B105" s="5" t="s">
        <v>252</v>
      </c>
      <c r="C105" s="8" t="s">
        <v>158</v>
      </c>
      <c r="D105" s="5" t="s">
        <v>139</v>
      </c>
      <c r="E105" s="5">
        <v>0</v>
      </c>
      <c r="F105" s="5"/>
      <c r="G105" s="5"/>
      <c r="H105" s="15"/>
      <c r="I105" s="15"/>
      <c r="J105" s="15"/>
      <c r="K105" s="15"/>
      <c r="L105" s="15"/>
      <c r="M105" s="15"/>
      <c r="N105" s="15"/>
      <c r="O105" s="15"/>
      <c r="P105" s="15"/>
      <c r="Q105" s="15"/>
      <c r="R105" s="15"/>
      <c r="S105" s="15"/>
      <c r="T105" s="15"/>
      <c r="U105" s="15"/>
      <c r="V105" s="15"/>
      <c r="W105" s="15"/>
      <c r="X105" s="15"/>
      <c r="Y105" s="15"/>
      <c r="Z105" s="15"/>
      <c r="AA105" s="15"/>
    </row>
    <row r="106" spans="1:27" ht="15" customHeight="1" x14ac:dyDescent="0.3">
      <c r="A106" s="13" t="s">
        <v>256</v>
      </c>
      <c r="B106" s="5" t="s">
        <v>252</v>
      </c>
      <c r="C106" s="8" t="s">
        <v>158</v>
      </c>
      <c r="D106" s="5" t="s">
        <v>139</v>
      </c>
      <c r="E106" s="5">
        <v>0</v>
      </c>
      <c r="F106" s="5"/>
      <c r="G106" s="5"/>
      <c r="H106" s="15"/>
      <c r="I106" s="15"/>
      <c r="J106" s="15"/>
      <c r="K106" s="15"/>
      <c r="L106" s="15"/>
      <c r="M106" s="15"/>
      <c r="N106" s="15"/>
      <c r="O106" s="15"/>
      <c r="P106" s="15"/>
      <c r="Q106" s="15"/>
      <c r="R106" s="15"/>
      <c r="S106" s="15"/>
      <c r="T106" s="15"/>
      <c r="U106" s="15"/>
      <c r="V106" s="15"/>
      <c r="W106" s="15"/>
      <c r="X106" s="15"/>
      <c r="Y106" s="15"/>
      <c r="Z106" s="15"/>
      <c r="AA106" s="15"/>
    </row>
    <row r="107" spans="1:27" ht="15" customHeight="1" x14ac:dyDescent="0.3">
      <c r="A107" s="13" t="s">
        <v>257</v>
      </c>
      <c r="B107" s="5" t="s">
        <v>252</v>
      </c>
      <c r="C107" s="8" t="s">
        <v>158</v>
      </c>
      <c r="D107" s="5" t="s">
        <v>201</v>
      </c>
      <c r="E107" s="5">
        <v>0</v>
      </c>
      <c r="F107" s="5"/>
      <c r="G107" s="5"/>
      <c r="H107" s="15"/>
      <c r="I107" s="15"/>
      <c r="J107" s="15"/>
      <c r="K107" s="15"/>
      <c r="L107" s="15"/>
      <c r="M107" s="15"/>
      <c r="N107" s="15"/>
      <c r="O107" s="15"/>
      <c r="P107" s="15"/>
      <c r="Q107" s="15"/>
      <c r="R107" s="15"/>
      <c r="S107" s="15"/>
      <c r="T107" s="15"/>
      <c r="U107" s="15"/>
      <c r="V107" s="15"/>
      <c r="W107" s="15"/>
      <c r="X107" s="15"/>
      <c r="Y107" s="15"/>
      <c r="Z107" s="15"/>
      <c r="AA107" s="15"/>
    </row>
    <row r="108" spans="1:27" ht="15" customHeight="1" x14ac:dyDescent="0.3">
      <c r="A108" s="13" t="s">
        <v>258</v>
      </c>
      <c r="B108" s="5" t="s">
        <v>252</v>
      </c>
      <c r="C108" s="6" t="s">
        <v>165</v>
      </c>
      <c r="D108" s="5" t="s">
        <v>139</v>
      </c>
      <c r="E108" s="5">
        <v>1</v>
      </c>
      <c r="F108" s="5"/>
      <c r="G108" s="5" t="s">
        <v>91</v>
      </c>
      <c r="H108" s="15"/>
      <c r="I108" s="15"/>
      <c r="J108" s="15"/>
      <c r="K108" s="15"/>
      <c r="L108" s="15"/>
      <c r="M108" s="15"/>
      <c r="N108" s="15"/>
      <c r="O108" s="15"/>
      <c r="P108" s="15"/>
      <c r="Q108" s="15"/>
      <c r="R108" s="15"/>
      <c r="S108" s="15"/>
      <c r="T108" s="15"/>
      <c r="U108" s="15"/>
      <c r="V108" s="15"/>
      <c r="W108" s="15"/>
      <c r="X108" s="15"/>
      <c r="Y108" s="15"/>
      <c r="Z108" s="16" t="s">
        <v>145</v>
      </c>
      <c r="AA108" s="15"/>
    </row>
    <row r="109" spans="1:27" ht="15" customHeight="1" x14ac:dyDescent="0.3">
      <c r="A109" s="13" t="s">
        <v>259</v>
      </c>
      <c r="B109" s="5" t="s">
        <v>252</v>
      </c>
      <c r="C109" s="6" t="s">
        <v>165</v>
      </c>
      <c r="D109" s="5" t="s">
        <v>151</v>
      </c>
      <c r="E109" s="5">
        <v>0</v>
      </c>
      <c r="F109" s="5"/>
      <c r="G109" s="5"/>
      <c r="H109" s="15"/>
      <c r="I109" s="15"/>
      <c r="J109" s="15"/>
      <c r="K109" s="15"/>
      <c r="L109" s="15"/>
      <c r="M109" s="15"/>
      <c r="N109" s="15"/>
      <c r="O109" s="15"/>
      <c r="P109" s="15"/>
      <c r="Q109" s="15"/>
      <c r="R109" s="15"/>
      <c r="S109" s="15"/>
      <c r="T109" s="15"/>
      <c r="U109" s="15"/>
      <c r="V109" s="15"/>
      <c r="W109" s="15"/>
      <c r="X109" s="15"/>
      <c r="Y109" s="15"/>
      <c r="Z109" s="15"/>
      <c r="AA109" s="15"/>
    </row>
    <row r="110" spans="1:27" ht="15" customHeight="1" x14ac:dyDescent="0.3">
      <c r="A110" s="13" t="s">
        <v>260</v>
      </c>
      <c r="B110" s="5" t="s">
        <v>252</v>
      </c>
      <c r="C110" s="6" t="s">
        <v>165</v>
      </c>
      <c r="D110" s="5" t="s">
        <v>143</v>
      </c>
      <c r="E110" s="5">
        <v>0</v>
      </c>
      <c r="F110" s="5"/>
      <c r="G110" s="5"/>
      <c r="H110" s="15"/>
      <c r="I110" s="15"/>
      <c r="J110" s="15"/>
      <c r="K110" s="15"/>
      <c r="L110" s="15"/>
      <c r="M110" s="15"/>
      <c r="N110" s="15"/>
      <c r="O110" s="15"/>
      <c r="P110" s="15"/>
      <c r="Q110" s="15"/>
      <c r="R110" s="15"/>
      <c r="S110" s="15"/>
      <c r="T110" s="15"/>
      <c r="U110" s="15"/>
      <c r="V110" s="15"/>
      <c r="W110" s="15"/>
      <c r="X110" s="15"/>
      <c r="Y110" s="15"/>
      <c r="Z110" s="15"/>
      <c r="AA110" s="15"/>
    </row>
    <row r="111" spans="1:27" ht="15" customHeight="1" x14ac:dyDescent="0.3">
      <c r="A111" s="13" t="s">
        <v>261</v>
      </c>
      <c r="B111" s="5" t="s">
        <v>262</v>
      </c>
      <c r="C111" s="9" t="s">
        <v>138</v>
      </c>
      <c r="D111" s="5" t="s">
        <v>139</v>
      </c>
      <c r="E111" s="5">
        <v>1</v>
      </c>
      <c r="F111" s="5" t="s">
        <v>42</v>
      </c>
      <c r="G111" s="5"/>
      <c r="H111" s="15"/>
      <c r="I111" s="15"/>
      <c r="J111" s="15"/>
      <c r="K111" s="15"/>
      <c r="L111" s="15"/>
      <c r="M111" s="15"/>
      <c r="N111" s="15"/>
      <c r="O111" s="15"/>
      <c r="P111" s="14" t="s">
        <v>141</v>
      </c>
      <c r="Q111" s="15"/>
      <c r="R111" s="15"/>
      <c r="S111" s="15"/>
      <c r="T111" s="15"/>
      <c r="U111" s="15"/>
      <c r="V111" s="15"/>
      <c r="W111" s="15"/>
      <c r="X111" s="15"/>
      <c r="Y111" s="15"/>
      <c r="Z111" s="15"/>
      <c r="AA111" s="15"/>
    </row>
    <row r="112" spans="1:27" ht="15" customHeight="1" x14ac:dyDescent="0.3">
      <c r="A112" s="13" t="s">
        <v>263</v>
      </c>
      <c r="B112" s="5" t="s">
        <v>262</v>
      </c>
      <c r="C112" s="9" t="s">
        <v>138</v>
      </c>
      <c r="D112" s="5" t="s">
        <v>139</v>
      </c>
      <c r="E112" s="5">
        <v>1</v>
      </c>
      <c r="F112" s="5" t="s">
        <v>42</v>
      </c>
      <c r="G112" s="5"/>
      <c r="H112" s="15"/>
      <c r="I112" s="15"/>
      <c r="J112" s="15"/>
      <c r="K112" s="15"/>
      <c r="L112" s="15"/>
      <c r="M112" s="15"/>
      <c r="N112" s="15"/>
      <c r="O112" s="15"/>
      <c r="P112" s="14" t="s">
        <v>141</v>
      </c>
      <c r="Q112" s="15"/>
      <c r="R112" s="15"/>
      <c r="S112" s="15"/>
      <c r="T112" s="15"/>
      <c r="U112" s="15"/>
      <c r="V112" s="15"/>
      <c r="W112" s="15"/>
      <c r="X112" s="15"/>
      <c r="Y112" s="15"/>
      <c r="Z112" s="15"/>
      <c r="AA112" s="15"/>
    </row>
    <row r="113" spans="1:27" ht="15" customHeight="1" x14ac:dyDescent="0.3">
      <c r="A113" s="13" t="s">
        <v>264</v>
      </c>
      <c r="B113" s="5" t="s">
        <v>262</v>
      </c>
      <c r="C113" s="9" t="s">
        <v>138</v>
      </c>
      <c r="D113" s="5" t="s">
        <v>139</v>
      </c>
      <c r="E113" s="5">
        <v>0</v>
      </c>
      <c r="F113" s="5"/>
      <c r="G113" s="5"/>
      <c r="H113" s="15"/>
      <c r="I113" s="15"/>
      <c r="J113" s="15"/>
      <c r="K113" s="15"/>
      <c r="L113" s="15"/>
      <c r="M113" s="15"/>
      <c r="N113" s="15"/>
      <c r="O113" s="15"/>
      <c r="P113" s="15"/>
      <c r="Q113" s="15"/>
      <c r="R113" s="15"/>
      <c r="S113" s="15"/>
      <c r="T113" s="15"/>
      <c r="U113" s="15"/>
      <c r="V113" s="15"/>
      <c r="W113" s="15"/>
      <c r="X113" s="15"/>
      <c r="Y113" s="15"/>
      <c r="Z113" s="15"/>
      <c r="AA113" s="15"/>
    </row>
    <row r="114" spans="1:27" ht="15" customHeight="1" x14ac:dyDescent="0.3">
      <c r="A114" s="13" t="s">
        <v>265</v>
      </c>
      <c r="B114" s="5" t="s">
        <v>262</v>
      </c>
      <c r="C114" s="9" t="s">
        <v>138</v>
      </c>
      <c r="D114" s="5" t="s">
        <v>151</v>
      </c>
      <c r="E114" s="5">
        <v>2</v>
      </c>
      <c r="F114" s="5" t="s">
        <v>42</v>
      </c>
      <c r="G114" s="5" t="s">
        <v>29</v>
      </c>
      <c r="H114" s="15"/>
      <c r="I114" s="15"/>
      <c r="J114" s="15"/>
      <c r="K114" s="15"/>
      <c r="L114" s="15"/>
      <c r="M114" s="16" t="s">
        <v>145</v>
      </c>
      <c r="N114" s="15"/>
      <c r="O114" s="15"/>
      <c r="P114" s="14" t="s">
        <v>141</v>
      </c>
      <c r="Q114" s="15"/>
      <c r="R114" s="15"/>
      <c r="S114" s="15"/>
      <c r="T114" s="15"/>
      <c r="U114" s="15"/>
      <c r="V114" s="15"/>
      <c r="W114" s="15"/>
      <c r="X114" s="15"/>
      <c r="Y114" s="15"/>
      <c r="Z114" s="15"/>
      <c r="AA114" s="15"/>
    </row>
    <row r="115" spans="1:27" ht="15" customHeight="1" x14ac:dyDescent="0.3">
      <c r="A115" s="13" t="s">
        <v>266</v>
      </c>
      <c r="B115" s="5" t="s">
        <v>262</v>
      </c>
      <c r="C115" s="8" t="s">
        <v>158</v>
      </c>
      <c r="D115" s="5" t="s">
        <v>139</v>
      </c>
      <c r="E115" s="5">
        <v>0</v>
      </c>
      <c r="F115" s="5"/>
      <c r="G115" s="5"/>
      <c r="H115" s="15"/>
      <c r="I115" s="15"/>
      <c r="J115" s="15"/>
      <c r="K115" s="15"/>
      <c r="L115" s="15"/>
      <c r="M115" s="15"/>
      <c r="N115" s="15"/>
      <c r="O115" s="15"/>
      <c r="P115" s="15"/>
      <c r="Q115" s="15"/>
      <c r="R115" s="15"/>
      <c r="S115" s="15"/>
      <c r="T115" s="15"/>
      <c r="U115" s="15"/>
      <c r="V115" s="15"/>
      <c r="W115" s="15"/>
      <c r="X115" s="15"/>
      <c r="Y115" s="15"/>
      <c r="Z115" s="15"/>
      <c r="AA115" s="15"/>
    </row>
    <row r="116" spans="1:27" ht="15" customHeight="1" x14ac:dyDescent="0.3">
      <c r="A116" s="13" t="s">
        <v>267</v>
      </c>
      <c r="B116" s="5" t="s">
        <v>262</v>
      </c>
      <c r="C116" s="9" t="s">
        <v>138</v>
      </c>
      <c r="D116" s="5" t="s">
        <v>143</v>
      </c>
      <c r="E116" s="5">
        <v>0</v>
      </c>
      <c r="F116" s="5"/>
      <c r="G116" s="5"/>
      <c r="H116" s="15"/>
      <c r="I116" s="15"/>
      <c r="J116" s="15"/>
      <c r="K116" s="15"/>
      <c r="L116" s="15"/>
      <c r="M116" s="15"/>
      <c r="N116" s="15"/>
      <c r="O116" s="15"/>
      <c r="P116" s="15"/>
      <c r="Q116" s="15"/>
      <c r="R116" s="15"/>
      <c r="S116" s="15"/>
      <c r="T116" s="15"/>
      <c r="U116" s="15"/>
      <c r="V116" s="15"/>
      <c r="W116" s="15"/>
      <c r="X116" s="15"/>
      <c r="Y116" s="15"/>
      <c r="Z116" s="15"/>
      <c r="AA116" s="15"/>
    </row>
    <row r="117" spans="1:27" ht="15" customHeight="1" x14ac:dyDescent="0.3">
      <c r="A117" s="13" t="s">
        <v>268</v>
      </c>
      <c r="B117" s="5" t="s">
        <v>262</v>
      </c>
      <c r="C117" s="8" t="s">
        <v>158</v>
      </c>
      <c r="D117" s="5" t="s">
        <v>139</v>
      </c>
      <c r="E117" s="5">
        <v>0</v>
      </c>
      <c r="F117" s="5"/>
      <c r="G117" s="5"/>
      <c r="H117" s="15"/>
      <c r="I117" s="15"/>
      <c r="J117" s="15"/>
      <c r="K117" s="15"/>
      <c r="L117" s="15"/>
      <c r="M117" s="15"/>
      <c r="N117" s="15"/>
      <c r="O117" s="15"/>
      <c r="P117" s="15"/>
      <c r="Q117" s="15"/>
      <c r="R117" s="15"/>
      <c r="S117" s="15"/>
      <c r="T117" s="15"/>
      <c r="U117" s="15"/>
      <c r="V117" s="15"/>
      <c r="W117" s="15"/>
      <c r="X117" s="15"/>
      <c r="Y117" s="15"/>
      <c r="Z117" s="15"/>
      <c r="AA117" s="15"/>
    </row>
    <row r="118" spans="1:27" ht="15" customHeight="1" x14ac:dyDescent="0.3">
      <c r="A118" s="13" t="s">
        <v>269</v>
      </c>
      <c r="B118" s="5" t="s">
        <v>262</v>
      </c>
      <c r="C118" s="8" t="s">
        <v>158</v>
      </c>
      <c r="D118" s="5" t="s">
        <v>139</v>
      </c>
      <c r="E118" s="5">
        <v>2</v>
      </c>
      <c r="F118" s="5" t="s">
        <v>94</v>
      </c>
      <c r="G118" s="5" t="s">
        <v>42</v>
      </c>
      <c r="H118" s="15"/>
      <c r="I118" s="15"/>
      <c r="J118" s="15"/>
      <c r="K118" s="15"/>
      <c r="L118" s="15"/>
      <c r="M118" s="15"/>
      <c r="N118" s="15"/>
      <c r="O118" s="15"/>
      <c r="P118" s="16" t="s">
        <v>145</v>
      </c>
      <c r="Q118" s="15"/>
      <c r="R118" s="15"/>
      <c r="S118" s="15"/>
      <c r="T118" s="15"/>
      <c r="U118" s="15"/>
      <c r="V118" s="15"/>
      <c r="W118" s="15"/>
      <c r="X118" s="15"/>
      <c r="Y118" s="15"/>
      <c r="Z118" s="15"/>
      <c r="AA118" s="14" t="s">
        <v>141</v>
      </c>
    </row>
    <row r="119" spans="1:27" ht="15" customHeight="1" x14ac:dyDescent="0.3">
      <c r="A119" s="13" t="s">
        <v>270</v>
      </c>
      <c r="B119" s="5" t="s">
        <v>262</v>
      </c>
      <c r="C119" s="6" t="s">
        <v>165</v>
      </c>
      <c r="D119" s="5" t="s">
        <v>139</v>
      </c>
      <c r="E119" s="5">
        <v>1</v>
      </c>
      <c r="F119" s="5"/>
      <c r="G119" s="5" t="s">
        <v>42</v>
      </c>
      <c r="H119" s="15"/>
      <c r="I119" s="15"/>
      <c r="J119" s="15"/>
      <c r="K119" s="15"/>
      <c r="L119" s="15"/>
      <c r="M119" s="15"/>
      <c r="N119" s="15"/>
      <c r="O119" s="15"/>
      <c r="P119" s="16" t="s">
        <v>145</v>
      </c>
      <c r="Q119" s="15"/>
      <c r="R119" s="15"/>
      <c r="S119" s="15"/>
      <c r="T119" s="15"/>
      <c r="U119" s="15"/>
      <c r="V119" s="15"/>
      <c r="W119" s="15"/>
      <c r="X119" s="15"/>
      <c r="Y119" s="15"/>
      <c r="Z119" s="15"/>
      <c r="AA119" s="15"/>
    </row>
    <row r="120" spans="1:27" ht="15" customHeight="1" x14ac:dyDescent="0.3">
      <c r="A120" s="13" t="s">
        <v>271</v>
      </c>
      <c r="B120" s="5" t="s">
        <v>262</v>
      </c>
      <c r="C120" s="6" t="s">
        <v>165</v>
      </c>
      <c r="D120" s="5" t="s">
        <v>151</v>
      </c>
      <c r="E120" s="5">
        <v>0</v>
      </c>
      <c r="F120" s="5"/>
      <c r="G120" s="5"/>
      <c r="H120" s="15"/>
      <c r="I120" s="15"/>
      <c r="J120" s="15"/>
      <c r="K120" s="15"/>
      <c r="L120" s="15"/>
      <c r="M120" s="15"/>
      <c r="N120" s="15"/>
      <c r="O120" s="15"/>
      <c r="P120" s="15"/>
      <c r="Q120" s="15"/>
      <c r="R120" s="15"/>
      <c r="S120" s="15"/>
      <c r="T120" s="15"/>
      <c r="U120" s="15"/>
      <c r="V120" s="15"/>
      <c r="W120" s="15"/>
      <c r="X120" s="15"/>
      <c r="Y120" s="15"/>
      <c r="Z120" s="15"/>
      <c r="AA120" s="15"/>
    </row>
    <row r="121" spans="1:27" ht="15" customHeight="1" x14ac:dyDescent="0.3">
      <c r="A121" s="13" t="s">
        <v>171</v>
      </c>
      <c r="B121" s="5" t="s">
        <v>262</v>
      </c>
      <c r="C121" s="6" t="s">
        <v>165</v>
      </c>
      <c r="D121" s="5" t="s">
        <v>139</v>
      </c>
      <c r="E121" s="5">
        <v>2</v>
      </c>
      <c r="F121" s="5" t="s">
        <v>81</v>
      </c>
      <c r="G121" s="5" t="s">
        <v>14</v>
      </c>
      <c r="H121" s="15"/>
      <c r="I121" s="16" t="s">
        <v>145</v>
      </c>
      <c r="J121" s="15"/>
      <c r="K121" s="15"/>
      <c r="L121" s="15"/>
      <c r="M121" s="15"/>
      <c r="N121" s="15"/>
      <c r="O121" s="15"/>
      <c r="P121" s="15"/>
      <c r="Q121" s="15"/>
      <c r="R121" s="15"/>
      <c r="S121" s="15"/>
      <c r="T121" s="15"/>
      <c r="U121" s="15"/>
      <c r="V121" s="15"/>
      <c r="W121" s="15"/>
      <c r="X121" s="14" t="s">
        <v>141</v>
      </c>
      <c r="Y121" s="15"/>
      <c r="Z121" s="15"/>
      <c r="AA121" s="15"/>
    </row>
    <row r="122" spans="1:27" ht="15" customHeight="1" x14ac:dyDescent="0.3">
      <c r="A122" s="13" t="s">
        <v>175</v>
      </c>
      <c r="B122" s="5" t="s">
        <v>272</v>
      </c>
      <c r="C122" s="9" t="s">
        <v>138</v>
      </c>
      <c r="D122" s="5" t="s">
        <v>139</v>
      </c>
      <c r="E122" s="5">
        <v>1</v>
      </c>
      <c r="F122" s="5" t="s">
        <v>59</v>
      </c>
      <c r="G122" s="5"/>
      <c r="H122" s="15"/>
      <c r="I122" s="15"/>
      <c r="J122" s="15"/>
      <c r="K122" s="15"/>
      <c r="L122" s="15"/>
      <c r="M122" s="15"/>
      <c r="N122" s="15"/>
      <c r="O122" s="15"/>
      <c r="P122" s="15"/>
      <c r="Q122" s="15"/>
      <c r="R122" s="15"/>
      <c r="S122" s="15"/>
      <c r="T122" s="14" t="s">
        <v>141</v>
      </c>
      <c r="U122" s="15"/>
      <c r="V122" s="15"/>
      <c r="W122" s="15"/>
      <c r="X122" s="15"/>
      <c r="Y122" s="15"/>
      <c r="Z122" s="15"/>
      <c r="AA122" s="15"/>
    </row>
    <row r="123" spans="1:27" ht="15" customHeight="1" x14ac:dyDescent="0.3">
      <c r="A123" s="13" t="s">
        <v>148</v>
      </c>
      <c r="B123" s="5" t="s">
        <v>272</v>
      </c>
      <c r="C123" s="9" t="s">
        <v>138</v>
      </c>
      <c r="D123" s="5" t="s">
        <v>139</v>
      </c>
      <c r="E123" s="5">
        <v>14</v>
      </c>
      <c r="F123" s="5" t="s">
        <v>149</v>
      </c>
      <c r="G123" s="5"/>
      <c r="H123" s="14" t="s">
        <v>141</v>
      </c>
      <c r="I123" s="14" t="s">
        <v>141</v>
      </c>
      <c r="J123" s="14" t="s">
        <v>141</v>
      </c>
      <c r="K123" s="15"/>
      <c r="L123" s="14" t="s">
        <v>141</v>
      </c>
      <c r="M123" s="14" t="s">
        <v>141</v>
      </c>
      <c r="N123" s="15"/>
      <c r="O123" s="15"/>
      <c r="P123" s="14" t="s">
        <v>141</v>
      </c>
      <c r="Q123" s="14" t="s">
        <v>141</v>
      </c>
      <c r="R123" s="14" t="s">
        <v>141</v>
      </c>
      <c r="S123" s="14" t="s">
        <v>141</v>
      </c>
      <c r="T123" s="14" t="s">
        <v>141</v>
      </c>
      <c r="U123" s="15"/>
      <c r="V123" s="14" t="s">
        <v>141</v>
      </c>
      <c r="W123" s="14" t="s">
        <v>141</v>
      </c>
      <c r="X123" s="14" t="s">
        <v>141</v>
      </c>
      <c r="Y123" s="15"/>
      <c r="Z123" s="14" t="s">
        <v>141</v>
      </c>
      <c r="AA123" s="15"/>
    </row>
    <row r="124" spans="1:27" ht="15" customHeight="1" x14ac:dyDescent="0.3">
      <c r="A124" s="13" t="s">
        <v>273</v>
      </c>
      <c r="B124" s="5" t="s">
        <v>272</v>
      </c>
      <c r="C124" s="9" t="s">
        <v>138</v>
      </c>
      <c r="D124" s="5" t="s">
        <v>139</v>
      </c>
      <c r="E124" s="5">
        <v>1</v>
      </c>
      <c r="F124" s="5" t="s">
        <v>59</v>
      </c>
      <c r="G124" s="5"/>
      <c r="H124" s="15"/>
      <c r="I124" s="15"/>
      <c r="J124" s="15"/>
      <c r="K124" s="15"/>
      <c r="L124" s="15"/>
      <c r="M124" s="15"/>
      <c r="N124" s="15"/>
      <c r="O124" s="15"/>
      <c r="P124" s="15"/>
      <c r="Q124" s="15"/>
      <c r="R124" s="15"/>
      <c r="S124" s="15"/>
      <c r="T124" s="14" t="s">
        <v>141</v>
      </c>
      <c r="U124" s="15"/>
      <c r="V124" s="15"/>
      <c r="W124" s="15"/>
      <c r="X124" s="15"/>
      <c r="Y124" s="15"/>
      <c r="Z124" s="15"/>
      <c r="AA124" s="15"/>
    </row>
    <row r="125" spans="1:27" ht="15" customHeight="1" x14ac:dyDescent="0.3">
      <c r="A125" s="13" t="s">
        <v>274</v>
      </c>
      <c r="B125" s="5" t="s">
        <v>272</v>
      </c>
      <c r="C125" s="9" t="s">
        <v>138</v>
      </c>
      <c r="D125" s="5" t="s">
        <v>143</v>
      </c>
      <c r="E125" s="5">
        <v>1</v>
      </c>
      <c r="F125" s="5" t="s">
        <v>59</v>
      </c>
      <c r="G125" s="5"/>
      <c r="H125" s="15"/>
      <c r="I125" s="15"/>
      <c r="J125" s="15"/>
      <c r="K125" s="15"/>
      <c r="L125" s="15"/>
      <c r="M125" s="15"/>
      <c r="N125" s="15"/>
      <c r="O125" s="15"/>
      <c r="P125" s="15"/>
      <c r="Q125" s="15"/>
      <c r="R125" s="15"/>
      <c r="S125" s="15"/>
      <c r="T125" s="14" t="s">
        <v>141</v>
      </c>
      <c r="U125" s="15"/>
      <c r="V125" s="15"/>
      <c r="W125" s="15"/>
      <c r="X125" s="15"/>
      <c r="Y125" s="15"/>
      <c r="Z125" s="15"/>
      <c r="AA125" s="15"/>
    </row>
    <row r="126" spans="1:27" ht="15" customHeight="1" x14ac:dyDescent="0.3">
      <c r="A126" s="13" t="s">
        <v>275</v>
      </c>
      <c r="B126" s="5" t="s">
        <v>272</v>
      </c>
      <c r="C126" s="9" t="s">
        <v>138</v>
      </c>
      <c r="D126" s="5" t="s">
        <v>143</v>
      </c>
      <c r="E126" s="5">
        <v>1</v>
      </c>
      <c r="F126" s="5" t="s">
        <v>59</v>
      </c>
      <c r="G126" s="5"/>
      <c r="H126" s="15"/>
      <c r="I126" s="15"/>
      <c r="J126" s="15"/>
      <c r="K126" s="15"/>
      <c r="L126" s="15"/>
      <c r="M126" s="15"/>
      <c r="N126" s="15"/>
      <c r="O126" s="15"/>
      <c r="P126" s="15"/>
      <c r="Q126" s="15"/>
      <c r="R126" s="15"/>
      <c r="S126" s="15"/>
      <c r="T126" s="14" t="s">
        <v>141</v>
      </c>
      <c r="U126" s="15"/>
      <c r="V126" s="15"/>
      <c r="W126" s="15"/>
      <c r="X126" s="15"/>
      <c r="Y126" s="15"/>
      <c r="Z126" s="15"/>
      <c r="AA126" s="15"/>
    </row>
    <row r="127" spans="1:27" ht="15" customHeight="1" x14ac:dyDescent="0.3">
      <c r="A127" s="13" t="s">
        <v>276</v>
      </c>
      <c r="B127" s="5" t="s">
        <v>272</v>
      </c>
      <c r="C127" s="9" t="s">
        <v>138</v>
      </c>
      <c r="D127" s="5" t="s">
        <v>151</v>
      </c>
      <c r="E127" s="5">
        <v>1</v>
      </c>
      <c r="F127" s="5" t="s">
        <v>59</v>
      </c>
      <c r="G127" s="5"/>
      <c r="H127" s="15"/>
      <c r="I127" s="15"/>
      <c r="J127" s="15"/>
      <c r="K127" s="15"/>
      <c r="L127" s="15"/>
      <c r="M127" s="15"/>
      <c r="N127" s="15"/>
      <c r="O127" s="15"/>
      <c r="P127" s="15"/>
      <c r="Q127" s="15"/>
      <c r="R127" s="15"/>
      <c r="S127" s="15"/>
      <c r="T127" s="14" t="s">
        <v>141</v>
      </c>
      <c r="U127" s="15"/>
      <c r="V127" s="15"/>
      <c r="W127" s="15"/>
      <c r="X127" s="15"/>
      <c r="Y127" s="15"/>
      <c r="Z127" s="15"/>
      <c r="AA127" s="15"/>
    </row>
    <row r="128" spans="1:27" ht="15" customHeight="1" x14ac:dyDescent="0.3">
      <c r="A128" s="13" t="s">
        <v>277</v>
      </c>
      <c r="B128" s="5" t="s">
        <v>272</v>
      </c>
      <c r="C128" s="9" t="s">
        <v>138</v>
      </c>
      <c r="D128" s="5" t="s">
        <v>151</v>
      </c>
      <c r="E128" s="5">
        <v>1</v>
      </c>
      <c r="F128" s="5" t="s">
        <v>59</v>
      </c>
      <c r="G128" s="5"/>
      <c r="H128" s="15"/>
      <c r="I128" s="15"/>
      <c r="J128" s="15"/>
      <c r="K128" s="15"/>
      <c r="L128" s="15"/>
      <c r="M128" s="15"/>
      <c r="N128" s="15"/>
      <c r="O128" s="15"/>
      <c r="P128" s="15"/>
      <c r="Q128" s="15"/>
      <c r="R128" s="15"/>
      <c r="S128" s="15"/>
      <c r="T128" s="14" t="s">
        <v>141</v>
      </c>
      <c r="U128" s="15"/>
      <c r="V128" s="15"/>
      <c r="W128" s="15"/>
      <c r="X128" s="15"/>
      <c r="Y128" s="15"/>
      <c r="Z128" s="15"/>
      <c r="AA128" s="15"/>
    </row>
    <row r="129" spans="1:27" ht="15" customHeight="1" x14ac:dyDescent="0.3">
      <c r="A129" s="13" t="s">
        <v>278</v>
      </c>
      <c r="B129" s="5" t="s">
        <v>272</v>
      </c>
      <c r="C129" s="8" t="s">
        <v>158</v>
      </c>
      <c r="D129" s="5" t="s">
        <v>151</v>
      </c>
      <c r="E129" s="5">
        <v>1</v>
      </c>
      <c r="F129" s="5"/>
      <c r="G129" s="5" t="s">
        <v>59</v>
      </c>
      <c r="H129" s="15"/>
      <c r="I129" s="15"/>
      <c r="J129" s="15"/>
      <c r="K129" s="15"/>
      <c r="L129" s="15"/>
      <c r="M129" s="15"/>
      <c r="N129" s="15"/>
      <c r="O129" s="15"/>
      <c r="P129" s="15"/>
      <c r="Q129" s="15"/>
      <c r="R129" s="15"/>
      <c r="S129" s="15"/>
      <c r="T129" s="16" t="s">
        <v>145</v>
      </c>
      <c r="U129" s="15"/>
      <c r="V129" s="15"/>
      <c r="W129" s="15"/>
      <c r="X129" s="15"/>
      <c r="Y129" s="15"/>
      <c r="Z129" s="15"/>
      <c r="AA129" s="15"/>
    </row>
    <row r="130" spans="1:27" ht="15" customHeight="1" x14ac:dyDescent="0.3">
      <c r="A130" s="13" t="s">
        <v>279</v>
      </c>
      <c r="B130" s="5" t="s">
        <v>272</v>
      </c>
      <c r="C130" s="6" t="s">
        <v>165</v>
      </c>
      <c r="D130" s="5" t="s">
        <v>139</v>
      </c>
      <c r="E130" s="5">
        <v>0</v>
      </c>
      <c r="F130" s="5"/>
      <c r="G130" s="5"/>
      <c r="H130" s="15"/>
      <c r="I130" s="15"/>
      <c r="J130" s="15"/>
      <c r="K130" s="15"/>
      <c r="L130" s="15"/>
      <c r="M130" s="15"/>
      <c r="N130" s="15"/>
      <c r="O130" s="15"/>
      <c r="P130" s="15"/>
      <c r="Q130" s="15"/>
      <c r="R130" s="15"/>
      <c r="S130" s="15"/>
      <c r="T130" s="15"/>
      <c r="U130" s="15"/>
      <c r="V130" s="15"/>
      <c r="W130" s="15"/>
      <c r="X130" s="15"/>
      <c r="Y130" s="15"/>
      <c r="Z130" s="15"/>
      <c r="AA130" s="15"/>
    </row>
    <row r="131" spans="1:27" ht="15" customHeight="1" x14ac:dyDescent="0.3">
      <c r="A131" s="13" t="s">
        <v>280</v>
      </c>
      <c r="B131" s="5" t="s">
        <v>272</v>
      </c>
      <c r="C131" s="6" t="s">
        <v>165</v>
      </c>
      <c r="D131" s="5" t="s">
        <v>139</v>
      </c>
      <c r="E131" s="5">
        <v>0</v>
      </c>
      <c r="F131" s="5"/>
      <c r="G131" s="5"/>
      <c r="H131" s="15"/>
      <c r="I131" s="15"/>
      <c r="J131" s="15"/>
      <c r="K131" s="15"/>
      <c r="L131" s="15"/>
      <c r="M131" s="15"/>
      <c r="N131" s="15"/>
      <c r="O131" s="15"/>
      <c r="P131" s="15"/>
      <c r="Q131" s="15"/>
      <c r="R131" s="15"/>
      <c r="S131" s="15"/>
      <c r="T131" s="15"/>
      <c r="U131" s="15"/>
      <c r="V131" s="15"/>
      <c r="W131" s="15"/>
      <c r="X131" s="15"/>
      <c r="Y131" s="15"/>
      <c r="Z131" s="15"/>
      <c r="AA131" s="15"/>
    </row>
    <row r="132" spans="1:27" ht="15" customHeight="1" x14ac:dyDescent="0.3">
      <c r="A132" s="13" t="s">
        <v>146</v>
      </c>
      <c r="B132" s="5" t="s">
        <v>281</v>
      </c>
      <c r="C132" s="9" t="s">
        <v>138</v>
      </c>
      <c r="D132" s="5" t="s">
        <v>139</v>
      </c>
      <c r="E132" s="5">
        <v>8</v>
      </c>
      <c r="F132" s="5" t="s">
        <v>147</v>
      </c>
      <c r="G132" s="5" t="s">
        <v>71</v>
      </c>
      <c r="H132" s="14" t="s">
        <v>141</v>
      </c>
      <c r="I132" s="14" t="s">
        <v>141</v>
      </c>
      <c r="J132" s="15"/>
      <c r="K132" s="14" t="s">
        <v>141</v>
      </c>
      <c r="L132" s="15"/>
      <c r="M132" s="15"/>
      <c r="N132" s="15"/>
      <c r="O132" s="14" t="s">
        <v>141</v>
      </c>
      <c r="P132" s="15"/>
      <c r="Q132" s="15"/>
      <c r="R132" s="15"/>
      <c r="S132" s="14" t="s">
        <v>141</v>
      </c>
      <c r="T132" s="15"/>
      <c r="U132" s="14" t="s">
        <v>141</v>
      </c>
      <c r="V132" s="16" t="s">
        <v>145</v>
      </c>
      <c r="W132" s="15"/>
      <c r="X132" s="15"/>
      <c r="Y132" s="14" t="s">
        <v>141</v>
      </c>
      <c r="Z132" s="15"/>
      <c r="AA132" s="15"/>
    </row>
    <row r="133" spans="1:27" ht="15" customHeight="1" x14ac:dyDescent="0.3">
      <c r="A133" s="13" t="s">
        <v>282</v>
      </c>
      <c r="B133" s="5" t="s">
        <v>281</v>
      </c>
      <c r="C133" s="9" t="s">
        <v>138</v>
      </c>
      <c r="D133" s="5" t="s">
        <v>139</v>
      </c>
      <c r="E133" s="5">
        <v>0</v>
      </c>
      <c r="F133" s="5"/>
      <c r="G133" s="5"/>
      <c r="H133" s="15"/>
      <c r="I133" s="15"/>
      <c r="J133" s="15"/>
      <c r="K133" s="15"/>
      <c r="L133" s="15"/>
      <c r="M133" s="15"/>
      <c r="N133" s="15"/>
      <c r="O133" s="15"/>
      <c r="P133" s="15"/>
      <c r="Q133" s="15"/>
      <c r="R133" s="15"/>
      <c r="S133" s="15"/>
      <c r="T133" s="15"/>
      <c r="U133" s="15"/>
      <c r="V133" s="15"/>
      <c r="W133" s="15"/>
      <c r="X133" s="15"/>
      <c r="Y133" s="15"/>
      <c r="Z133" s="15"/>
      <c r="AA133" s="15"/>
    </row>
    <row r="134" spans="1:27" ht="15" customHeight="1" x14ac:dyDescent="0.3">
      <c r="A134" s="13" t="s">
        <v>283</v>
      </c>
      <c r="B134" s="5" t="s">
        <v>281</v>
      </c>
      <c r="C134" s="9" t="s">
        <v>138</v>
      </c>
      <c r="D134" s="5" t="s">
        <v>151</v>
      </c>
      <c r="E134" s="5">
        <v>1</v>
      </c>
      <c r="F134" s="5" t="s">
        <v>64</v>
      </c>
      <c r="G134" s="5"/>
      <c r="H134" s="15"/>
      <c r="I134" s="15"/>
      <c r="J134" s="15"/>
      <c r="K134" s="15"/>
      <c r="L134" s="15"/>
      <c r="M134" s="15"/>
      <c r="N134" s="15"/>
      <c r="O134" s="15"/>
      <c r="P134" s="15"/>
      <c r="Q134" s="15"/>
      <c r="R134" s="15"/>
      <c r="S134" s="15"/>
      <c r="T134" s="15"/>
      <c r="U134" s="14" t="s">
        <v>141</v>
      </c>
      <c r="V134" s="15"/>
      <c r="W134" s="15"/>
      <c r="X134" s="15"/>
      <c r="Y134" s="15"/>
      <c r="Z134" s="15"/>
      <c r="AA134" s="15"/>
    </row>
    <row r="135" spans="1:27" ht="15" customHeight="1" x14ac:dyDescent="0.3">
      <c r="A135" s="13" t="s">
        <v>284</v>
      </c>
      <c r="B135" s="5" t="s">
        <v>281</v>
      </c>
      <c r="C135" s="9" t="s">
        <v>138</v>
      </c>
      <c r="D135" s="5" t="s">
        <v>139</v>
      </c>
      <c r="E135" s="5">
        <v>0</v>
      </c>
      <c r="F135" s="5"/>
      <c r="G135" s="5"/>
      <c r="H135" s="15"/>
      <c r="I135" s="15"/>
      <c r="J135" s="15"/>
      <c r="K135" s="15"/>
      <c r="L135" s="15"/>
      <c r="M135" s="15"/>
      <c r="N135" s="15"/>
      <c r="O135" s="15"/>
      <c r="P135" s="15"/>
      <c r="Q135" s="15"/>
      <c r="R135" s="15"/>
      <c r="S135" s="15"/>
      <c r="T135" s="15"/>
      <c r="U135" s="15"/>
      <c r="V135" s="15"/>
      <c r="W135" s="15"/>
      <c r="X135" s="15"/>
      <c r="Y135" s="15"/>
      <c r="Z135" s="15"/>
      <c r="AA135" s="15"/>
    </row>
    <row r="136" spans="1:27" ht="15" customHeight="1" x14ac:dyDescent="0.3">
      <c r="A136" s="13" t="s">
        <v>285</v>
      </c>
      <c r="B136" s="5" t="s">
        <v>281</v>
      </c>
      <c r="C136" s="9" t="s">
        <v>138</v>
      </c>
      <c r="D136" s="5" t="s">
        <v>143</v>
      </c>
      <c r="E136" s="5">
        <v>0</v>
      </c>
      <c r="F136" s="5"/>
      <c r="G136" s="5"/>
      <c r="H136" s="15"/>
      <c r="I136" s="15"/>
      <c r="J136" s="15"/>
      <c r="K136" s="15"/>
      <c r="L136" s="15"/>
      <c r="M136" s="15"/>
      <c r="N136" s="15"/>
      <c r="O136" s="15"/>
      <c r="P136" s="15"/>
      <c r="Q136" s="15"/>
      <c r="R136" s="15"/>
      <c r="S136" s="15"/>
      <c r="T136" s="15"/>
      <c r="U136" s="15"/>
      <c r="V136" s="15"/>
      <c r="W136" s="15"/>
      <c r="X136" s="15"/>
      <c r="Y136" s="15"/>
      <c r="Z136" s="15"/>
      <c r="AA136" s="15"/>
    </row>
    <row r="137" spans="1:27" ht="15" customHeight="1" x14ac:dyDescent="0.3">
      <c r="A137" s="13" t="s">
        <v>286</v>
      </c>
      <c r="B137" s="5" t="s">
        <v>281</v>
      </c>
      <c r="C137" s="8" t="s">
        <v>158</v>
      </c>
      <c r="D137" s="5" t="s">
        <v>287</v>
      </c>
      <c r="E137" s="5">
        <v>1</v>
      </c>
      <c r="F137" s="5" t="s">
        <v>64</v>
      </c>
      <c r="G137" s="5"/>
      <c r="H137" s="15"/>
      <c r="I137" s="15"/>
      <c r="J137" s="15"/>
      <c r="K137" s="15"/>
      <c r="L137" s="15"/>
      <c r="M137" s="15"/>
      <c r="N137" s="15"/>
      <c r="O137" s="15"/>
      <c r="P137" s="15"/>
      <c r="Q137" s="15"/>
      <c r="R137" s="15"/>
      <c r="S137" s="15"/>
      <c r="T137" s="15"/>
      <c r="U137" s="14" t="s">
        <v>141</v>
      </c>
      <c r="V137" s="15"/>
      <c r="W137" s="15"/>
      <c r="X137" s="15"/>
      <c r="Y137" s="15"/>
      <c r="Z137" s="15"/>
      <c r="AA137" s="15"/>
    </row>
    <row r="138" spans="1:27" ht="15" customHeight="1" x14ac:dyDescent="0.3">
      <c r="A138" s="13" t="s">
        <v>288</v>
      </c>
      <c r="B138" s="5" t="s">
        <v>281</v>
      </c>
      <c r="C138" s="8" t="s">
        <v>158</v>
      </c>
      <c r="D138" s="5" t="s">
        <v>151</v>
      </c>
      <c r="E138" s="5">
        <v>1</v>
      </c>
      <c r="F138" s="5" t="s">
        <v>64</v>
      </c>
      <c r="G138" s="5"/>
      <c r="H138" s="15"/>
      <c r="I138" s="15"/>
      <c r="J138" s="15"/>
      <c r="K138" s="15"/>
      <c r="L138" s="15"/>
      <c r="M138" s="15"/>
      <c r="N138" s="15"/>
      <c r="O138" s="15"/>
      <c r="P138" s="15"/>
      <c r="Q138" s="15"/>
      <c r="R138" s="15"/>
      <c r="S138" s="15"/>
      <c r="T138" s="15"/>
      <c r="U138" s="14" t="s">
        <v>141</v>
      </c>
      <c r="V138" s="15"/>
      <c r="W138" s="15"/>
      <c r="X138" s="15"/>
      <c r="Y138" s="15"/>
      <c r="Z138" s="15"/>
      <c r="AA138" s="15"/>
    </row>
    <row r="139" spans="1:27" ht="15" customHeight="1" x14ac:dyDescent="0.3">
      <c r="A139" s="13" t="s">
        <v>289</v>
      </c>
      <c r="B139" s="5" t="s">
        <v>281</v>
      </c>
      <c r="C139" s="8" t="s">
        <v>158</v>
      </c>
      <c r="D139" s="5" t="s">
        <v>151</v>
      </c>
      <c r="E139" s="5">
        <v>1</v>
      </c>
      <c r="F139" s="5" t="s">
        <v>64</v>
      </c>
      <c r="G139" s="5"/>
      <c r="H139" s="15"/>
      <c r="I139" s="15"/>
      <c r="J139" s="15"/>
      <c r="K139" s="15"/>
      <c r="L139" s="15"/>
      <c r="M139" s="15"/>
      <c r="N139" s="15"/>
      <c r="O139" s="15"/>
      <c r="P139" s="15"/>
      <c r="Q139" s="15"/>
      <c r="R139" s="15"/>
      <c r="S139" s="15"/>
      <c r="T139" s="15"/>
      <c r="U139" s="14" t="s">
        <v>141</v>
      </c>
      <c r="V139" s="15"/>
      <c r="W139" s="15"/>
      <c r="X139" s="15"/>
      <c r="Y139" s="15"/>
      <c r="Z139" s="15"/>
      <c r="AA139" s="15"/>
    </row>
    <row r="140" spans="1:27" ht="15" customHeight="1" x14ac:dyDescent="0.3">
      <c r="A140" s="13" t="s">
        <v>290</v>
      </c>
      <c r="B140" s="5" t="s">
        <v>281</v>
      </c>
      <c r="C140" s="8" t="s">
        <v>158</v>
      </c>
      <c r="D140" s="5" t="s">
        <v>291</v>
      </c>
      <c r="E140" s="5">
        <v>1</v>
      </c>
      <c r="F140" s="5"/>
      <c r="G140" s="5" t="s">
        <v>64</v>
      </c>
      <c r="H140" s="15"/>
      <c r="I140" s="15"/>
      <c r="J140" s="15"/>
      <c r="K140" s="15"/>
      <c r="L140" s="15"/>
      <c r="M140" s="15"/>
      <c r="N140" s="15"/>
      <c r="O140" s="15"/>
      <c r="P140" s="15"/>
      <c r="Q140" s="15"/>
      <c r="R140" s="15"/>
      <c r="S140" s="15"/>
      <c r="T140" s="15"/>
      <c r="U140" s="16" t="s">
        <v>145</v>
      </c>
      <c r="V140" s="15"/>
      <c r="W140" s="15"/>
      <c r="X140" s="15"/>
      <c r="Y140" s="15"/>
      <c r="Z140" s="15"/>
      <c r="AA140" s="15"/>
    </row>
    <row r="141" spans="1:27" ht="15" customHeight="1" x14ac:dyDescent="0.3">
      <c r="A141" s="13" t="s">
        <v>292</v>
      </c>
      <c r="B141" s="5" t="s">
        <v>281</v>
      </c>
      <c r="C141" s="9" t="s">
        <v>138</v>
      </c>
      <c r="D141" s="5" t="s">
        <v>174</v>
      </c>
      <c r="E141" s="5">
        <v>1</v>
      </c>
      <c r="F141" s="5" t="s">
        <v>86</v>
      </c>
      <c r="G141" s="5"/>
      <c r="H141" s="15"/>
      <c r="I141" s="15"/>
      <c r="J141" s="15"/>
      <c r="K141" s="15"/>
      <c r="L141" s="15"/>
      <c r="M141" s="15"/>
      <c r="N141" s="15"/>
      <c r="O141" s="15"/>
      <c r="P141" s="15"/>
      <c r="Q141" s="15"/>
      <c r="R141" s="15"/>
      <c r="S141" s="15"/>
      <c r="T141" s="15"/>
      <c r="U141" s="15"/>
      <c r="V141" s="15"/>
      <c r="W141" s="15"/>
      <c r="X141" s="15"/>
      <c r="Y141" s="14" t="s">
        <v>141</v>
      </c>
      <c r="Z141" s="15"/>
      <c r="AA141" s="15"/>
    </row>
    <row r="142" spans="1:27" ht="15" customHeight="1" x14ac:dyDescent="0.3">
      <c r="A142" s="13" t="s">
        <v>293</v>
      </c>
      <c r="B142" s="5" t="s">
        <v>281</v>
      </c>
      <c r="C142" s="8" t="s">
        <v>158</v>
      </c>
      <c r="D142" s="5" t="s">
        <v>143</v>
      </c>
      <c r="E142" s="5">
        <v>1</v>
      </c>
      <c r="F142" s="5" t="s">
        <v>86</v>
      </c>
      <c r="G142" s="5"/>
      <c r="H142" s="15"/>
      <c r="I142" s="15"/>
      <c r="J142" s="15"/>
      <c r="K142" s="15"/>
      <c r="L142" s="15"/>
      <c r="M142" s="15"/>
      <c r="N142" s="15"/>
      <c r="O142" s="15"/>
      <c r="P142" s="15"/>
      <c r="Q142" s="15"/>
      <c r="R142" s="15"/>
      <c r="S142" s="15"/>
      <c r="T142" s="15"/>
      <c r="U142" s="15"/>
      <c r="V142" s="15"/>
      <c r="W142" s="15"/>
      <c r="X142" s="15"/>
      <c r="Y142" s="14" t="s">
        <v>141</v>
      </c>
      <c r="Z142" s="15"/>
      <c r="AA142" s="15"/>
    </row>
    <row r="143" spans="1:27" ht="15" customHeight="1" x14ac:dyDescent="0.3">
      <c r="A143" s="13" t="s">
        <v>294</v>
      </c>
      <c r="B143" s="5" t="s">
        <v>281</v>
      </c>
      <c r="C143" s="8" t="s">
        <v>158</v>
      </c>
      <c r="D143" s="5" t="s">
        <v>139</v>
      </c>
      <c r="E143" s="5">
        <v>1</v>
      </c>
      <c r="F143" s="5" t="s">
        <v>86</v>
      </c>
      <c r="G143" s="5"/>
      <c r="H143" s="15"/>
      <c r="I143" s="15"/>
      <c r="J143" s="15"/>
      <c r="K143" s="15"/>
      <c r="L143" s="15"/>
      <c r="M143" s="15"/>
      <c r="N143" s="15"/>
      <c r="O143" s="15"/>
      <c r="P143" s="15"/>
      <c r="Q143" s="15"/>
      <c r="R143" s="15"/>
      <c r="S143" s="15"/>
      <c r="T143" s="15"/>
      <c r="U143" s="15"/>
      <c r="V143" s="15"/>
      <c r="W143" s="15"/>
      <c r="X143" s="15"/>
      <c r="Y143" s="14" t="s">
        <v>141</v>
      </c>
      <c r="Z143" s="15"/>
      <c r="AA143" s="15"/>
    </row>
    <row r="144" spans="1:27" ht="15" customHeight="1" x14ac:dyDescent="0.3">
      <c r="A144" s="13" t="s">
        <v>295</v>
      </c>
      <c r="B144" s="5" t="s">
        <v>281</v>
      </c>
      <c r="C144" s="8" t="s">
        <v>158</v>
      </c>
      <c r="D144" s="5" t="s">
        <v>174</v>
      </c>
      <c r="E144" s="5">
        <v>1</v>
      </c>
      <c r="F144" s="5" t="s">
        <v>86</v>
      </c>
      <c r="G144" s="5"/>
      <c r="H144" s="15"/>
      <c r="I144" s="15"/>
      <c r="J144" s="15"/>
      <c r="K144" s="15"/>
      <c r="L144" s="15"/>
      <c r="M144" s="15"/>
      <c r="N144" s="15"/>
      <c r="O144" s="15"/>
      <c r="P144" s="15"/>
      <c r="Q144" s="15"/>
      <c r="R144" s="15"/>
      <c r="S144" s="15"/>
      <c r="T144" s="15"/>
      <c r="U144" s="15"/>
      <c r="V144" s="15"/>
      <c r="W144" s="15"/>
      <c r="X144" s="15"/>
      <c r="Y144" s="14" t="s">
        <v>141</v>
      </c>
      <c r="Z144" s="15"/>
      <c r="AA144" s="15"/>
    </row>
    <row r="145" spans="1:27" ht="15" customHeight="1" x14ac:dyDescent="0.3">
      <c r="A145" s="13" t="s">
        <v>296</v>
      </c>
      <c r="B145" s="5" t="s">
        <v>281</v>
      </c>
      <c r="C145" s="6" t="s">
        <v>165</v>
      </c>
      <c r="D145" s="5" t="s">
        <v>151</v>
      </c>
      <c r="E145" s="5">
        <v>1</v>
      </c>
      <c r="F145" s="5"/>
      <c r="G145" s="5" t="s">
        <v>86</v>
      </c>
      <c r="H145" s="15"/>
      <c r="I145" s="15"/>
      <c r="J145" s="15"/>
      <c r="K145" s="15"/>
      <c r="L145" s="15"/>
      <c r="M145" s="15"/>
      <c r="N145" s="15"/>
      <c r="O145" s="15"/>
      <c r="P145" s="15"/>
      <c r="Q145" s="15"/>
      <c r="R145" s="15"/>
      <c r="S145" s="15"/>
      <c r="T145" s="15"/>
      <c r="U145" s="15"/>
      <c r="V145" s="15"/>
      <c r="W145" s="15"/>
      <c r="X145" s="15"/>
      <c r="Y145" s="16" t="s">
        <v>145</v>
      </c>
      <c r="Z145" s="15"/>
      <c r="AA145" s="15"/>
    </row>
    <row r="146" spans="1:27" ht="15" customHeight="1" x14ac:dyDescent="0.3">
      <c r="A146" s="13" t="s">
        <v>297</v>
      </c>
      <c r="B146" s="5" t="s">
        <v>281</v>
      </c>
      <c r="C146" s="6" t="s">
        <v>165</v>
      </c>
      <c r="D146" s="5" t="s">
        <v>201</v>
      </c>
      <c r="E146" s="5">
        <v>1</v>
      </c>
      <c r="F146" s="5"/>
      <c r="G146" s="5" t="s">
        <v>86</v>
      </c>
      <c r="H146" s="15"/>
      <c r="I146" s="15"/>
      <c r="J146" s="15"/>
      <c r="K146" s="15"/>
      <c r="L146" s="15"/>
      <c r="M146" s="15"/>
      <c r="N146" s="15"/>
      <c r="O146" s="15"/>
      <c r="P146" s="15"/>
      <c r="Q146" s="15"/>
      <c r="R146" s="15"/>
      <c r="S146" s="15"/>
      <c r="T146" s="15"/>
      <c r="U146" s="15"/>
      <c r="V146" s="15"/>
      <c r="W146" s="15"/>
      <c r="X146" s="15"/>
      <c r="Y146" s="16" t="s">
        <v>145</v>
      </c>
      <c r="Z146" s="15"/>
      <c r="AA146" s="15"/>
    </row>
    <row r="147" spans="1:27" ht="15" customHeight="1" x14ac:dyDescent="0.3">
      <c r="A147" s="13" t="s">
        <v>298</v>
      </c>
      <c r="B147" s="5" t="s">
        <v>281</v>
      </c>
      <c r="C147" s="6" t="s">
        <v>165</v>
      </c>
      <c r="D147" s="5" t="s">
        <v>139</v>
      </c>
      <c r="E147" s="5">
        <v>0</v>
      </c>
      <c r="F147" s="5"/>
      <c r="G147" s="5"/>
      <c r="H147" s="15"/>
      <c r="I147" s="15"/>
      <c r="J147" s="15"/>
      <c r="K147" s="15"/>
      <c r="L147" s="15"/>
      <c r="M147" s="15"/>
      <c r="N147" s="15"/>
      <c r="O147" s="15"/>
      <c r="P147" s="15"/>
      <c r="Q147" s="15"/>
      <c r="R147" s="15"/>
      <c r="S147" s="15"/>
      <c r="T147" s="15"/>
      <c r="U147" s="15"/>
      <c r="V147" s="15"/>
      <c r="W147" s="15"/>
      <c r="X147" s="15"/>
      <c r="Y147" s="15"/>
      <c r="Z147" s="15"/>
      <c r="AA147" s="15"/>
    </row>
    <row r="148" spans="1:27" ht="15" customHeight="1" x14ac:dyDescent="0.3">
      <c r="A148" s="13" t="s">
        <v>299</v>
      </c>
      <c r="B148" s="5" t="s">
        <v>281</v>
      </c>
      <c r="C148" s="6" t="s">
        <v>165</v>
      </c>
      <c r="D148" s="5" t="s">
        <v>240</v>
      </c>
      <c r="E148" s="5">
        <v>1</v>
      </c>
      <c r="F148" s="5"/>
      <c r="G148" s="5" t="s">
        <v>64</v>
      </c>
      <c r="H148" s="15"/>
      <c r="I148" s="15"/>
      <c r="J148" s="15"/>
      <c r="K148" s="15"/>
      <c r="L148" s="15"/>
      <c r="M148" s="15"/>
      <c r="N148" s="15"/>
      <c r="O148" s="15"/>
      <c r="P148" s="15"/>
      <c r="Q148" s="15"/>
      <c r="R148" s="15"/>
      <c r="S148" s="15"/>
      <c r="T148" s="15"/>
      <c r="U148" s="16" t="s">
        <v>145</v>
      </c>
      <c r="V148" s="15"/>
      <c r="W148" s="15"/>
      <c r="X148" s="15"/>
      <c r="Y148" s="15"/>
      <c r="Z148" s="15"/>
      <c r="AA148" s="15"/>
    </row>
    <row r="149" spans="1:27" ht="15" customHeight="1" x14ac:dyDescent="0.3">
      <c r="A149" s="13" t="s">
        <v>300</v>
      </c>
      <c r="B149" s="5" t="s">
        <v>301</v>
      </c>
      <c r="C149" s="8" t="s">
        <v>158</v>
      </c>
      <c r="D149" s="5" t="s">
        <v>151</v>
      </c>
      <c r="E149" s="5">
        <v>1</v>
      </c>
      <c r="F149" s="5"/>
      <c r="G149" s="5" t="s">
        <v>48</v>
      </c>
      <c r="H149" s="15"/>
      <c r="I149" s="15"/>
      <c r="J149" s="15"/>
      <c r="K149" s="15"/>
      <c r="L149" s="15"/>
      <c r="M149" s="15"/>
      <c r="N149" s="15"/>
      <c r="O149" s="15"/>
      <c r="P149" s="15"/>
      <c r="Q149" s="16" t="s">
        <v>145</v>
      </c>
      <c r="R149" s="15"/>
      <c r="S149" s="15"/>
      <c r="T149" s="15"/>
      <c r="U149" s="15"/>
      <c r="V149" s="15"/>
      <c r="W149" s="15"/>
      <c r="X149" s="15"/>
      <c r="Y149" s="15"/>
      <c r="Z149" s="15"/>
      <c r="AA149" s="15"/>
    </row>
    <row r="150" spans="1:27" ht="15" customHeight="1" x14ac:dyDescent="0.3">
      <c r="A150" s="13" t="s">
        <v>302</v>
      </c>
      <c r="B150" s="5" t="s">
        <v>301</v>
      </c>
      <c r="C150" s="8" t="s">
        <v>158</v>
      </c>
      <c r="D150" s="5" t="s">
        <v>151</v>
      </c>
      <c r="E150" s="5">
        <v>0</v>
      </c>
      <c r="F150" s="5"/>
      <c r="G150" s="5"/>
      <c r="H150" s="15"/>
      <c r="I150" s="15"/>
      <c r="J150" s="15"/>
      <c r="K150" s="15"/>
      <c r="L150" s="15"/>
      <c r="M150" s="15"/>
      <c r="N150" s="15"/>
      <c r="O150" s="15"/>
      <c r="P150" s="15"/>
      <c r="Q150" s="15"/>
      <c r="R150" s="15"/>
      <c r="S150" s="15"/>
      <c r="T150" s="15"/>
      <c r="U150" s="15"/>
      <c r="V150" s="15"/>
      <c r="W150" s="15"/>
      <c r="X150" s="15"/>
      <c r="Y150" s="15"/>
      <c r="Z150" s="15"/>
      <c r="AA150" s="15"/>
    </row>
    <row r="151" spans="1:27" ht="15" customHeight="1" x14ac:dyDescent="0.3">
      <c r="A151" s="13" t="s">
        <v>303</v>
      </c>
      <c r="B151" s="5" t="s">
        <v>301</v>
      </c>
      <c r="C151" s="8" t="s">
        <v>158</v>
      </c>
      <c r="D151" s="5" t="s">
        <v>304</v>
      </c>
      <c r="E151" s="5">
        <v>0</v>
      </c>
      <c r="F151" s="5"/>
      <c r="G151" s="5"/>
      <c r="H151" s="15"/>
      <c r="I151" s="15"/>
      <c r="J151" s="15"/>
      <c r="K151" s="15"/>
      <c r="L151" s="15"/>
      <c r="M151" s="15"/>
      <c r="N151" s="15"/>
      <c r="O151" s="15"/>
      <c r="P151" s="15"/>
      <c r="Q151" s="15"/>
      <c r="R151" s="15"/>
      <c r="S151" s="15"/>
      <c r="T151" s="15"/>
      <c r="U151" s="15"/>
      <c r="V151" s="15"/>
      <c r="W151" s="15"/>
      <c r="X151" s="15"/>
      <c r="Y151" s="15"/>
      <c r="Z151" s="15"/>
      <c r="AA151" s="15"/>
    </row>
    <row r="152" spans="1:27" ht="15" customHeight="1" x14ac:dyDescent="0.3">
      <c r="A152" s="13" t="s">
        <v>305</v>
      </c>
      <c r="B152" s="5" t="s">
        <v>301</v>
      </c>
      <c r="C152" s="8" t="s">
        <v>158</v>
      </c>
      <c r="D152" s="5" t="s">
        <v>151</v>
      </c>
      <c r="E152" s="5">
        <v>0</v>
      </c>
      <c r="F152" s="5"/>
      <c r="G152" s="5"/>
      <c r="H152" s="15"/>
      <c r="I152" s="15"/>
      <c r="J152" s="15"/>
      <c r="K152" s="15"/>
      <c r="L152" s="15"/>
      <c r="M152" s="15"/>
      <c r="N152" s="15"/>
      <c r="O152" s="15"/>
      <c r="P152" s="15"/>
      <c r="Q152" s="15"/>
      <c r="R152" s="15"/>
      <c r="S152" s="15"/>
      <c r="T152" s="15"/>
      <c r="U152" s="15"/>
      <c r="V152" s="15"/>
      <c r="W152" s="15"/>
      <c r="X152" s="15"/>
      <c r="Y152" s="15"/>
      <c r="Z152" s="15"/>
      <c r="AA152" s="15"/>
    </row>
    <row r="153" spans="1:27" ht="15" customHeight="1" x14ac:dyDescent="0.3">
      <c r="A153" s="13" t="s">
        <v>306</v>
      </c>
      <c r="B153" s="5" t="s">
        <v>301</v>
      </c>
      <c r="C153" s="9" t="s">
        <v>138</v>
      </c>
      <c r="D153" s="5" t="s">
        <v>304</v>
      </c>
      <c r="E153" s="5">
        <v>0</v>
      </c>
      <c r="F153" s="5"/>
      <c r="G153" s="5"/>
      <c r="H153" s="15"/>
      <c r="I153" s="15"/>
      <c r="J153" s="15"/>
      <c r="K153" s="15"/>
      <c r="L153" s="15"/>
      <c r="M153" s="15"/>
      <c r="N153" s="15"/>
      <c r="O153" s="15"/>
      <c r="P153" s="15"/>
      <c r="Q153" s="15"/>
      <c r="R153" s="15"/>
      <c r="S153" s="15"/>
      <c r="T153" s="15"/>
      <c r="U153" s="15"/>
      <c r="V153" s="15"/>
      <c r="W153" s="15"/>
      <c r="X153" s="15"/>
      <c r="Y153" s="15"/>
      <c r="Z153" s="15"/>
      <c r="AA153" s="15"/>
    </row>
    <row r="154" spans="1:27" ht="15" customHeight="1" x14ac:dyDescent="0.3">
      <c r="A154" s="13" t="s">
        <v>307</v>
      </c>
      <c r="B154" s="5" t="s">
        <v>301</v>
      </c>
      <c r="C154" s="8" t="s">
        <v>158</v>
      </c>
      <c r="D154" s="5" t="s">
        <v>304</v>
      </c>
      <c r="E154" s="5">
        <v>0</v>
      </c>
      <c r="F154" s="5"/>
      <c r="G154" s="5"/>
      <c r="H154" s="15"/>
      <c r="I154" s="15"/>
      <c r="J154" s="15"/>
      <c r="K154" s="15"/>
      <c r="L154" s="15"/>
      <c r="M154" s="15"/>
      <c r="N154" s="15"/>
      <c r="O154" s="15"/>
      <c r="P154" s="15"/>
      <c r="Q154" s="15"/>
      <c r="R154" s="15"/>
      <c r="S154" s="15"/>
      <c r="T154" s="15"/>
      <c r="U154" s="15"/>
      <c r="V154" s="15"/>
      <c r="W154" s="15"/>
      <c r="X154" s="15"/>
      <c r="Y154" s="15"/>
      <c r="Z154" s="15"/>
      <c r="AA154" s="15"/>
    </row>
    <row r="155" spans="1:27" ht="15" customHeight="1" x14ac:dyDescent="0.3">
      <c r="A155" s="13" t="s">
        <v>308</v>
      </c>
      <c r="B155" s="5" t="s">
        <v>301</v>
      </c>
      <c r="C155" s="6" t="s">
        <v>165</v>
      </c>
      <c r="D155" s="5" t="s">
        <v>151</v>
      </c>
      <c r="E155" s="5">
        <v>0</v>
      </c>
      <c r="F155" s="5"/>
      <c r="G155" s="5"/>
      <c r="H155" s="15"/>
      <c r="I155" s="15"/>
      <c r="J155" s="15"/>
      <c r="K155" s="15"/>
      <c r="L155" s="15"/>
      <c r="M155" s="15"/>
      <c r="N155" s="15"/>
      <c r="O155" s="15"/>
      <c r="P155" s="15"/>
      <c r="Q155" s="15"/>
      <c r="R155" s="15"/>
      <c r="S155" s="15"/>
      <c r="T155" s="15"/>
      <c r="U155" s="15"/>
      <c r="V155" s="15"/>
      <c r="W155" s="15"/>
      <c r="X155" s="15"/>
      <c r="Y155" s="15"/>
      <c r="Z155" s="15"/>
      <c r="AA155" s="15"/>
    </row>
    <row r="156" spans="1:27" ht="15" customHeight="1" x14ac:dyDescent="0.3">
      <c r="A156" s="13" t="s">
        <v>309</v>
      </c>
      <c r="B156" s="5" t="s">
        <v>301</v>
      </c>
      <c r="C156" s="8" t="s">
        <v>158</v>
      </c>
      <c r="D156" s="5" t="s">
        <v>304</v>
      </c>
      <c r="E156" s="5">
        <v>0</v>
      </c>
      <c r="F156" s="5"/>
      <c r="G156" s="5"/>
      <c r="H156" s="15"/>
      <c r="I156" s="15"/>
      <c r="J156" s="15"/>
      <c r="K156" s="15"/>
      <c r="L156" s="15"/>
      <c r="M156" s="15"/>
      <c r="N156" s="15"/>
      <c r="O156" s="15"/>
      <c r="P156" s="15"/>
      <c r="Q156" s="15"/>
      <c r="R156" s="15"/>
      <c r="S156" s="15"/>
      <c r="T156" s="15"/>
      <c r="U156" s="15"/>
      <c r="V156" s="15"/>
      <c r="W156" s="15"/>
      <c r="X156" s="15"/>
      <c r="Y156" s="15"/>
      <c r="Z156" s="15"/>
      <c r="AA156" s="15"/>
    </row>
  </sheetData>
  <autoFilter ref="A4:AA156" xr:uid="{00000000-0009-0000-0000-000001000000}"/>
  <mergeCells count="2">
    <mergeCell ref="A1:AA1"/>
    <mergeCell ref="A2:AA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F23"/>
  <sheetViews>
    <sheetView zoomScaleNormal="100" workbookViewId="0">
      <pane ySplit="3" topLeftCell="A4" activePane="bottomLeft" state="frozen"/>
      <selection pane="bottomLeft" activeCell="C4" sqref="C4"/>
    </sheetView>
  </sheetViews>
  <sheetFormatPr defaultColWidth="8.6640625" defaultRowHeight="15" customHeight="1" x14ac:dyDescent="0.3"/>
  <cols>
    <col min="1" max="1" width="12" customWidth="1"/>
    <col min="2" max="2" width="38" customWidth="1"/>
    <col min="3" max="3" width="55" customWidth="1"/>
    <col min="4" max="5" width="16" customWidth="1"/>
    <col min="6" max="6" width="50" customWidth="1"/>
  </cols>
  <sheetData>
    <row r="1" spans="1:6" ht="17.25" customHeight="1" x14ac:dyDescent="0.3">
      <c r="A1" s="2" t="s">
        <v>310</v>
      </c>
      <c r="B1" s="2"/>
      <c r="C1" s="2"/>
      <c r="D1" s="2"/>
      <c r="E1" s="2"/>
      <c r="F1" s="2"/>
    </row>
    <row r="3" spans="1:6" ht="26.25" customHeight="1" x14ac:dyDescent="0.3">
      <c r="A3" s="12" t="s">
        <v>311</v>
      </c>
      <c r="B3" s="12" t="s">
        <v>312</v>
      </c>
      <c r="C3" s="12" t="s">
        <v>313</v>
      </c>
      <c r="D3" s="12" t="s">
        <v>314</v>
      </c>
      <c r="E3" s="12" t="s">
        <v>315</v>
      </c>
      <c r="F3" s="12" t="s">
        <v>316</v>
      </c>
    </row>
    <row r="4" spans="1:6" ht="45.75" customHeight="1" x14ac:dyDescent="0.3">
      <c r="A4" s="5" t="s">
        <v>9</v>
      </c>
      <c r="B4" s="13" t="s">
        <v>10</v>
      </c>
      <c r="C4" s="7" t="s">
        <v>317</v>
      </c>
      <c r="D4" s="5">
        <v>8</v>
      </c>
      <c r="E4" s="5">
        <v>9</v>
      </c>
      <c r="F4" s="7" t="s">
        <v>318</v>
      </c>
    </row>
    <row r="5" spans="1:6" ht="45.75" customHeight="1" x14ac:dyDescent="0.3">
      <c r="A5" s="5" t="s">
        <v>14</v>
      </c>
      <c r="B5" s="13" t="s">
        <v>319</v>
      </c>
      <c r="C5" s="7" t="s">
        <v>320</v>
      </c>
      <c r="D5" s="5">
        <v>7</v>
      </c>
      <c r="E5" s="5">
        <v>5</v>
      </c>
      <c r="F5" s="7" t="s">
        <v>321</v>
      </c>
    </row>
    <row r="6" spans="1:6" ht="57" customHeight="1" x14ac:dyDescent="0.3">
      <c r="A6" s="5" t="s">
        <v>17</v>
      </c>
      <c r="B6" s="13" t="s">
        <v>18</v>
      </c>
      <c r="C6" s="7" t="s">
        <v>322</v>
      </c>
      <c r="D6" s="5">
        <v>8</v>
      </c>
      <c r="E6" s="5">
        <v>4</v>
      </c>
      <c r="F6" s="7" t="s">
        <v>323</v>
      </c>
    </row>
    <row r="7" spans="1:6" ht="45.75" customHeight="1" x14ac:dyDescent="0.3">
      <c r="A7" s="5" t="s">
        <v>23</v>
      </c>
      <c r="B7" s="13" t="s">
        <v>324</v>
      </c>
      <c r="C7" s="7" t="s">
        <v>325</v>
      </c>
      <c r="D7" s="5">
        <v>7</v>
      </c>
      <c r="E7" s="5">
        <v>7</v>
      </c>
      <c r="F7" s="7" t="s">
        <v>326</v>
      </c>
    </row>
    <row r="8" spans="1:6" ht="57" customHeight="1" x14ac:dyDescent="0.3">
      <c r="A8" s="5" t="s">
        <v>26</v>
      </c>
      <c r="B8" s="13" t="s">
        <v>327</v>
      </c>
      <c r="C8" s="7" t="s">
        <v>328</v>
      </c>
      <c r="D8" s="5">
        <v>9</v>
      </c>
      <c r="E8" s="5">
        <v>6</v>
      </c>
      <c r="F8" s="7" t="s">
        <v>329</v>
      </c>
    </row>
    <row r="9" spans="1:6" ht="57" customHeight="1" x14ac:dyDescent="0.3">
      <c r="A9" s="5" t="s">
        <v>29</v>
      </c>
      <c r="B9" s="13" t="s">
        <v>330</v>
      </c>
      <c r="C9" s="7" t="s">
        <v>331</v>
      </c>
      <c r="D9" s="5">
        <v>5</v>
      </c>
      <c r="E9" s="5">
        <v>7</v>
      </c>
      <c r="F9" s="7" t="s">
        <v>332</v>
      </c>
    </row>
    <row r="10" spans="1:6" ht="57" customHeight="1" x14ac:dyDescent="0.3">
      <c r="A10" s="5" t="s">
        <v>32</v>
      </c>
      <c r="B10" s="13" t="s">
        <v>333</v>
      </c>
      <c r="C10" s="7" t="s">
        <v>334</v>
      </c>
      <c r="D10" s="5">
        <v>8</v>
      </c>
      <c r="E10" s="5">
        <v>4</v>
      </c>
      <c r="F10" s="7" t="s">
        <v>335</v>
      </c>
    </row>
    <row r="11" spans="1:6" ht="57" customHeight="1" x14ac:dyDescent="0.3">
      <c r="A11" s="5" t="s">
        <v>37</v>
      </c>
      <c r="B11" s="13" t="s">
        <v>336</v>
      </c>
      <c r="C11" s="7" t="s">
        <v>337</v>
      </c>
      <c r="D11" s="5">
        <v>6</v>
      </c>
      <c r="E11" s="5">
        <v>7</v>
      </c>
      <c r="F11" s="7" t="s">
        <v>338</v>
      </c>
    </row>
    <row r="12" spans="1:6" ht="57" customHeight="1" x14ac:dyDescent="0.3">
      <c r="A12" s="5" t="s">
        <v>42</v>
      </c>
      <c r="B12" s="13" t="s">
        <v>339</v>
      </c>
      <c r="C12" s="7" t="s">
        <v>340</v>
      </c>
      <c r="D12" s="5">
        <v>6</v>
      </c>
      <c r="E12" s="5">
        <v>6</v>
      </c>
      <c r="F12" s="7" t="s">
        <v>341</v>
      </c>
    </row>
    <row r="13" spans="1:6" ht="57" customHeight="1" x14ac:dyDescent="0.3">
      <c r="A13" s="5" t="s">
        <v>48</v>
      </c>
      <c r="B13" s="13" t="s">
        <v>342</v>
      </c>
      <c r="C13" s="7" t="s">
        <v>343</v>
      </c>
      <c r="D13" s="5">
        <v>5</v>
      </c>
      <c r="E13" s="5">
        <v>5</v>
      </c>
      <c r="F13" s="7" t="s">
        <v>344</v>
      </c>
    </row>
    <row r="14" spans="1:6" ht="45.75" customHeight="1" x14ac:dyDescent="0.3">
      <c r="A14" s="5" t="s">
        <v>51</v>
      </c>
      <c r="B14" s="13" t="s">
        <v>52</v>
      </c>
      <c r="C14" s="7" t="s">
        <v>345</v>
      </c>
      <c r="D14" s="5">
        <v>6</v>
      </c>
      <c r="E14" s="5">
        <v>5</v>
      </c>
      <c r="F14" s="7" t="s">
        <v>346</v>
      </c>
    </row>
    <row r="15" spans="1:6" ht="45.75" customHeight="1" x14ac:dyDescent="0.3">
      <c r="A15" s="5" t="s">
        <v>56</v>
      </c>
      <c r="B15" s="13" t="s">
        <v>347</v>
      </c>
      <c r="C15" s="7" t="s">
        <v>348</v>
      </c>
      <c r="D15" s="5">
        <v>5</v>
      </c>
      <c r="E15" s="5">
        <v>6</v>
      </c>
      <c r="F15" s="7" t="s">
        <v>349</v>
      </c>
    </row>
    <row r="16" spans="1:6" ht="45.75" customHeight="1" x14ac:dyDescent="0.3">
      <c r="A16" s="5" t="s">
        <v>59</v>
      </c>
      <c r="B16" s="13" t="s">
        <v>350</v>
      </c>
      <c r="C16" s="7" t="s">
        <v>351</v>
      </c>
      <c r="D16" s="5">
        <v>10</v>
      </c>
      <c r="E16" s="5">
        <v>4</v>
      </c>
      <c r="F16" s="7" t="s">
        <v>352</v>
      </c>
    </row>
    <row r="17" spans="1:6" ht="57" customHeight="1" x14ac:dyDescent="0.3">
      <c r="A17" s="5" t="s">
        <v>64</v>
      </c>
      <c r="B17" s="13" t="s">
        <v>353</v>
      </c>
      <c r="C17" s="7" t="s">
        <v>354</v>
      </c>
      <c r="D17" s="5">
        <v>7</v>
      </c>
      <c r="E17" s="5">
        <v>5</v>
      </c>
      <c r="F17" s="7" t="s">
        <v>355</v>
      </c>
    </row>
    <row r="18" spans="1:6" ht="34.5" customHeight="1" x14ac:dyDescent="0.3">
      <c r="A18" s="5" t="s">
        <v>71</v>
      </c>
      <c r="B18" s="13" t="s">
        <v>356</v>
      </c>
      <c r="C18" s="7" t="s">
        <v>357</v>
      </c>
      <c r="D18" s="5">
        <v>6</v>
      </c>
      <c r="E18" s="5">
        <v>5</v>
      </c>
      <c r="F18" s="7" t="s">
        <v>358</v>
      </c>
    </row>
    <row r="19" spans="1:6" ht="34.5" customHeight="1" x14ac:dyDescent="0.3">
      <c r="A19" s="5" t="s">
        <v>76</v>
      </c>
      <c r="B19" s="13" t="s">
        <v>77</v>
      </c>
      <c r="C19" s="7" t="s">
        <v>359</v>
      </c>
      <c r="D19" s="5">
        <v>7</v>
      </c>
      <c r="E19" s="5">
        <v>5</v>
      </c>
      <c r="F19" s="7" t="s">
        <v>360</v>
      </c>
    </row>
    <row r="20" spans="1:6" ht="57" customHeight="1" x14ac:dyDescent="0.3">
      <c r="A20" s="5" t="s">
        <v>81</v>
      </c>
      <c r="B20" s="13" t="s">
        <v>361</v>
      </c>
      <c r="C20" s="7" t="s">
        <v>362</v>
      </c>
      <c r="D20" s="5">
        <v>7</v>
      </c>
      <c r="E20" s="5">
        <v>6</v>
      </c>
      <c r="F20" s="7" t="s">
        <v>363</v>
      </c>
    </row>
    <row r="21" spans="1:6" ht="45.75" customHeight="1" x14ac:dyDescent="0.3">
      <c r="A21" s="5" t="s">
        <v>86</v>
      </c>
      <c r="B21" s="13" t="s">
        <v>364</v>
      </c>
      <c r="C21" s="7" t="s">
        <v>365</v>
      </c>
      <c r="D21" s="5">
        <v>6</v>
      </c>
      <c r="E21" s="5">
        <v>8</v>
      </c>
      <c r="F21" s="7" t="s">
        <v>366</v>
      </c>
    </row>
    <row r="22" spans="1:6" ht="34.5" customHeight="1" x14ac:dyDescent="0.3">
      <c r="A22" s="5" t="s">
        <v>91</v>
      </c>
      <c r="B22" s="13" t="s">
        <v>367</v>
      </c>
      <c r="C22" s="7" t="s">
        <v>368</v>
      </c>
      <c r="D22" s="5">
        <v>9</v>
      </c>
      <c r="E22" s="5">
        <v>5</v>
      </c>
      <c r="F22" s="7" t="s">
        <v>369</v>
      </c>
    </row>
    <row r="23" spans="1:6" ht="45.75" customHeight="1" x14ac:dyDescent="0.3">
      <c r="A23" s="5" t="s">
        <v>94</v>
      </c>
      <c r="B23" s="13" t="s">
        <v>370</v>
      </c>
      <c r="C23" s="7" t="s">
        <v>371</v>
      </c>
      <c r="D23" s="5">
        <v>8</v>
      </c>
      <c r="E23" s="5">
        <v>4</v>
      </c>
      <c r="F23" s="7" t="s">
        <v>372</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AE203"/>
  <sheetViews>
    <sheetView zoomScaleNormal="100" workbookViewId="0">
      <pane ySplit="3" topLeftCell="A4" activePane="bottomLeft" state="frozen"/>
      <selection pane="bottomLeft" sqref="A1:AC1"/>
    </sheetView>
  </sheetViews>
  <sheetFormatPr defaultColWidth="8.6640625" defaultRowHeight="15" customHeight="1" x14ac:dyDescent="0.3"/>
  <cols>
    <col min="1" max="1" width="16" customWidth="1"/>
    <col min="2" max="2" width="18" customWidth="1"/>
    <col min="3" max="6" width="14" customWidth="1"/>
    <col min="7" max="7" width="17" customWidth="1"/>
    <col min="8" max="8" width="14" customWidth="1"/>
    <col min="9" max="9" width="15" customWidth="1"/>
    <col min="10" max="10" width="17" customWidth="1"/>
    <col min="11" max="11" width="21" customWidth="1"/>
    <col min="12" max="12" width="15" customWidth="1"/>
    <col min="13" max="13" width="20" customWidth="1"/>
    <col min="14" max="14" width="27" customWidth="1"/>
    <col min="15" max="15" width="17" customWidth="1"/>
    <col min="16" max="16" width="25" customWidth="1"/>
    <col min="17" max="18" width="14" customWidth="1"/>
    <col min="19" max="19" width="20" customWidth="1"/>
    <col min="20" max="21" width="14" customWidth="1"/>
    <col min="22" max="22" width="18" customWidth="1"/>
    <col min="23" max="23" width="15" customWidth="1"/>
    <col min="24" max="24" width="14" customWidth="1"/>
    <col min="25" max="25" width="15" customWidth="1"/>
    <col min="26" max="28" width="14" customWidth="1"/>
    <col min="29" max="29" width="15" customWidth="1"/>
    <col min="30" max="31" width="18" customWidth="1"/>
  </cols>
  <sheetData>
    <row r="1" spans="1:31" ht="17.25" customHeight="1" x14ac:dyDescent="0.3">
      <c r="A1" s="2" t="s">
        <v>373</v>
      </c>
      <c r="B1" s="2"/>
      <c r="C1" s="2"/>
      <c r="D1" s="2"/>
      <c r="E1" s="2"/>
      <c r="F1" s="2"/>
      <c r="G1" s="2"/>
      <c r="H1" s="2"/>
      <c r="I1" s="2"/>
      <c r="J1" s="2"/>
      <c r="K1" s="2"/>
      <c r="L1" s="2"/>
      <c r="M1" s="2"/>
      <c r="N1" s="2"/>
      <c r="O1" s="2"/>
      <c r="P1" s="2"/>
      <c r="Q1" s="2"/>
      <c r="R1" s="2"/>
      <c r="S1" s="2"/>
      <c r="T1" s="2"/>
      <c r="U1" s="2"/>
      <c r="V1" s="2"/>
      <c r="W1" s="2"/>
      <c r="X1" s="2"/>
      <c r="Y1" s="2"/>
      <c r="Z1" s="2"/>
      <c r="AA1" s="2"/>
      <c r="AB1" s="2"/>
      <c r="AC1" s="2"/>
    </row>
    <row r="2" spans="1:31" ht="15" customHeight="1" x14ac:dyDescent="0.3">
      <c r="A2" s="1" t="s">
        <v>374</v>
      </c>
      <c r="B2" s="1"/>
      <c r="C2" s="1"/>
      <c r="D2" s="1"/>
      <c r="E2" s="1"/>
      <c r="F2" s="1"/>
      <c r="G2" s="1"/>
      <c r="H2" s="1"/>
      <c r="I2" s="1"/>
      <c r="J2" s="1"/>
      <c r="K2" s="1"/>
      <c r="L2" s="1"/>
      <c r="M2" s="1"/>
      <c r="N2" s="1"/>
      <c r="O2" s="1"/>
      <c r="P2" s="1"/>
      <c r="Q2" s="1"/>
      <c r="R2" s="1"/>
      <c r="S2" s="1"/>
      <c r="T2" s="1"/>
      <c r="U2" s="1"/>
      <c r="V2" s="1"/>
      <c r="W2" s="1"/>
      <c r="X2" s="1"/>
      <c r="Y2" s="1"/>
      <c r="Z2" s="1"/>
      <c r="AA2" s="1"/>
      <c r="AB2" s="1"/>
      <c r="AC2" s="1"/>
    </row>
    <row r="3" spans="1:31" ht="26.25" customHeight="1" x14ac:dyDescent="0.3">
      <c r="A3" s="12" t="s">
        <v>375</v>
      </c>
      <c r="B3" s="12" t="s">
        <v>376</v>
      </c>
      <c r="C3" s="12" t="s">
        <v>377</v>
      </c>
      <c r="D3" s="12" t="s">
        <v>378</v>
      </c>
      <c r="E3" s="12" t="s">
        <v>379</v>
      </c>
      <c r="F3" s="12" t="s">
        <v>380</v>
      </c>
      <c r="G3" s="12" t="s">
        <v>381</v>
      </c>
      <c r="H3" s="12" t="s">
        <v>382</v>
      </c>
      <c r="I3" s="12" t="s">
        <v>383</v>
      </c>
      <c r="J3" s="12" t="s">
        <v>384</v>
      </c>
      <c r="K3" s="12" t="s">
        <v>385</v>
      </c>
      <c r="L3" s="12" t="s">
        <v>386</v>
      </c>
      <c r="M3" s="12" t="s">
        <v>387</v>
      </c>
      <c r="N3" s="12" t="s">
        <v>388</v>
      </c>
      <c r="O3" s="12" t="s">
        <v>389</v>
      </c>
      <c r="P3" s="12" t="s">
        <v>390</v>
      </c>
      <c r="Q3" s="12" t="s">
        <v>391</v>
      </c>
      <c r="R3" s="12" t="s">
        <v>392</v>
      </c>
      <c r="S3" s="12" t="s">
        <v>393</v>
      </c>
      <c r="T3" s="12" t="s">
        <v>394</v>
      </c>
      <c r="U3" s="12" t="s">
        <v>395</v>
      </c>
      <c r="V3" s="12" t="s">
        <v>396</v>
      </c>
      <c r="W3" s="12" t="s">
        <v>397</v>
      </c>
      <c r="X3" s="12" t="s">
        <v>398</v>
      </c>
      <c r="Y3" s="12" t="s">
        <v>399</v>
      </c>
      <c r="Z3" s="12" t="s">
        <v>400</v>
      </c>
      <c r="AA3" s="12" t="s">
        <v>401</v>
      </c>
      <c r="AB3" s="12" t="s">
        <v>402</v>
      </c>
      <c r="AC3" s="12" t="s">
        <v>403</v>
      </c>
      <c r="AD3" s="4" t="s">
        <v>404</v>
      </c>
      <c r="AE3" s="4" t="s">
        <v>405</v>
      </c>
    </row>
    <row r="4" spans="1:31" ht="15" customHeight="1" x14ac:dyDescent="0.3">
      <c r="A4" s="5" t="s">
        <v>406</v>
      </c>
      <c r="B4" s="5" t="s">
        <v>407</v>
      </c>
      <c r="C4" s="5" t="s">
        <v>408</v>
      </c>
      <c r="D4" s="5" t="s">
        <v>409</v>
      </c>
      <c r="E4" s="5" t="s">
        <v>410</v>
      </c>
      <c r="F4" s="17">
        <v>100</v>
      </c>
      <c r="G4" s="5" t="s">
        <v>411</v>
      </c>
      <c r="H4" s="18">
        <v>8.5</v>
      </c>
      <c r="I4" s="18">
        <v>8.27</v>
      </c>
      <c r="J4" s="18">
        <v>0.23</v>
      </c>
      <c r="K4" s="18">
        <v>0.19</v>
      </c>
      <c r="L4" s="18">
        <v>0.46</v>
      </c>
      <c r="M4" s="18">
        <v>0.03</v>
      </c>
      <c r="N4" s="18">
        <v>0</v>
      </c>
      <c r="O4" s="18">
        <v>0</v>
      </c>
      <c r="P4" s="18">
        <v>0</v>
      </c>
      <c r="Q4" s="18">
        <v>7.62</v>
      </c>
      <c r="R4" s="18">
        <v>7.59</v>
      </c>
      <c r="S4" s="18">
        <v>3.4</v>
      </c>
      <c r="T4" s="18">
        <v>759</v>
      </c>
      <c r="U4" s="18">
        <v>419</v>
      </c>
      <c r="V4" s="5" t="s">
        <v>412</v>
      </c>
      <c r="W4" s="5" t="s">
        <v>413</v>
      </c>
      <c r="X4" s="5" t="s">
        <v>414</v>
      </c>
      <c r="Y4" s="5" t="s">
        <v>415</v>
      </c>
      <c r="Z4" s="5" t="s">
        <v>416</v>
      </c>
      <c r="AA4" s="5"/>
      <c r="AB4" s="5" t="s">
        <v>417</v>
      </c>
      <c r="AC4" s="5" t="s">
        <v>418</v>
      </c>
      <c r="AD4" s="18"/>
      <c r="AE4" s="5"/>
    </row>
    <row r="5" spans="1:31" ht="15" customHeight="1" x14ac:dyDescent="0.3">
      <c r="A5" s="5" t="s">
        <v>419</v>
      </c>
      <c r="B5" s="5" t="s">
        <v>420</v>
      </c>
      <c r="C5" s="5" t="s">
        <v>421</v>
      </c>
      <c r="D5" s="5" t="s">
        <v>422</v>
      </c>
      <c r="E5" s="5" t="s">
        <v>423</v>
      </c>
      <c r="F5" s="17">
        <v>500</v>
      </c>
      <c r="G5" s="5" t="s">
        <v>411</v>
      </c>
      <c r="H5" s="18">
        <v>3.2</v>
      </c>
      <c r="I5" s="18">
        <v>2.97</v>
      </c>
      <c r="J5" s="18">
        <v>0.23</v>
      </c>
      <c r="K5" s="18">
        <v>0.08</v>
      </c>
      <c r="L5" s="18">
        <v>0</v>
      </c>
      <c r="M5" s="18">
        <v>0.09</v>
      </c>
      <c r="N5" s="18">
        <v>0</v>
      </c>
      <c r="O5" s="18">
        <v>0</v>
      </c>
      <c r="P5" s="18">
        <v>0.02</v>
      </c>
      <c r="Q5" s="18">
        <v>2.89</v>
      </c>
      <c r="R5" s="18">
        <v>2.78</v>
      </c>
      <c r="S5" s="18">
        <v>1.28</v>
      </c>
      <c r="T5" s="18">
        <v>1390</v>
      </c>
      <c r="U5" s="18">
        <v>750</v>
      </c>
      <c r="V5" s="5" t="s">
        <v>412</v>
      </c>
      <c r="W5" s="5" t="s">
        <v>424</v>
      </c>
      <c r="X5" s="5" t="s">
        <v>425</v>
      </c>
      <c r="Y5" s="5" t="s">
        <v>426</v>
      </c>
      <c r="Z5" s="5"/>
      <c r="AA5" s="5"/>
      <c r="AB5" s="5" t="s">
        <v>417</v>
      </c>
      <c r="AC5" s="5" t="s">
        <v>427</v>
      </c>
      <c r="AD5" s="18">
        <v>3.97</v>
      </c>
      <c r="AE5" s="19">
        <v>0.182</v>
      </c>
    </row>
    <row r="6" spans="1:31" ht="15" customHeight="1" x14ac:dyDescent="0.3">
      <c r="A6" s="5" t="s">
        <v>428</v>
      </c>
      <c r="B6" s="5" t="s">
        <v>429</v>
      </c>
      <c r="C6" s="5" t="s">
        <v>430</v>
      </c>
      <c r="D6" s="5" t="s">
        <v>431</v>
      </c>
      <c r="E6" s="5" t="s">
        <v>432</v>
      </c>
      <c r="F6" s="17">
        <v>2500</v>
      </c>
      <c r="G6" s="5" t="s">
        <v>433</v>
      </c>
      <c r="H6" s="18">
        <v>42</v>
      </c>
      <c r="I6" s="18">
        <v>39.68</v>
      </c>
      <c r="J6" s="18">
        <v>2.3199999999999998</v>
      </c>
      <c r="K6" s="18">
        <v>0.16</v>
      </c>
      <c r="L6" s="18">
        <v>3.1</v>
      </c>
      <c r="M6" s="18">
        <v>0</v>
      </c>
      <c r="N6" s="18">
        <v>0</v>
      </c>
      <c r="O6" s="18">
        <v>0</v>
      </c>
      <c r="P6" s="18">
        <v>0.3</v>
      </c>
      <c r="Q6" s="18">
        <v>36.42</v>
      </c>
      <c r="R6" s="18">
        <v>36.119999999999997</v>
      </c>
      <c r="S6" s="18">
        <v>16.8</v>
      </c>
      <c r="T6" s="18">
        <v>90300</v>
      </c>
      <c r="U6" s="18">
        <v>48300</v>
      </c>
      <c r="V6" s="5" t="s">
        <v>434</v>
      </c>
      <c r="W6" s="5" t="s">
        <v>435</v>
      </c>
      <c r="X6" s="5" t="s">
        <v>414</v>
      </c>
      <c r="Y6" s="5" t="s">
        <v>415</v>
      </c>
      <c r="Z6" s="5" t="s">
        <v>436</v>
      </c>
      <c r="AA6" s="5" t="s">
        <v>437</v>
      </c>
      <c r="AB6" s="5" t="s">
        <v>417</v>
      </c>
      <c r="AC6" s="5" t="s">
        <v>418</v>
      </c>
      <c r="AD6" s="18">
        <v>44.84</v>
      </c>
      <c r="AE6" s="19">
        <v>0.11700000000000001</v>
      </c>
    </row>
    <row r="7" spans="1:31" ht="15" customHeight="1" x14ac:dyDescent="0.3">
      <c r="A7" s="5" t="s">
        <v>438</v>
      </c>
      <c r="B7" s="5" t="s">
        <v>439</v>
      </c>
      <c r="C7" s="5" t="s">
        <v>408</v>
      </c>
      <c r="D7" s="5" t="s">
        <v>440</v>
      </c>
      <c r="E7" s="5" t="s">
        <v>432</v>
      </c>
      <c r="F7" s="17">
        <v>500</v>
      </c>
      <c r="G7" s="5" t="s">
        <v>411</v>
      </c>
      <c r="H7" s="18">
        <v>0.45</v>
      </c>
      <c r="I7" s="18">
        <v>0.43</v>
      </c>
      <c r="J7" s="18">
        <v>0.02</v>
      </c>
      <c r="K7" s="18">
        <v>0.01</v>
      </c>
      <c r="L7" s="18">
        <v>0.01</v>
      </c>
      <c r="M7" s="18">
        <v>0</v>
      </c>
      <c r="N7" s="18">
        <v>0</v>
      </c>
      <c r="O7" s="18">
        <v>0</v>
      </c>
      <c r="P7" s="18">
        <v>0.01</v>
      </c>
      <c r="Q7" s="18">
        <v>0.41</v>
      </c>
      <c r="R7" s="18">
        <v>0.4</v>
      </c>
      <c r="S7" s="18">
        <v>0.18</v>
      </c>
      <c r="T7" s="18">
        <v>200</v>
      </c>
      <c r="U7" s="18">
        <v>110</v>
      </c>
      <c r="V7" s="5" t="s">
        <v>412</v>
      </c>
      <c r="W7" s="5" t="s">
        <v>413</v>
      </c>
      <c r="X7" s="5" t="s">
        <v>414</v>
      </c>
      <c r="Y7" s="5" t="s">
        <v>415</v>
      </c>
      <c r="Z7" s="5" t="s">
        <v>416</v>
      </c>
      <c r="AA7" s="5"/>
      <c r="AB7" s="5" t="s">
        <v>417</v>
      </c>
      <c r="AC7" s="5" t="s">
        <v>418</v>
      </c>
      <c r="AD7" s="18"/>
      <c r="AE7" s="5"/>
    </row>
    <row r="8" spans="1:31" ht="15" customHeight="1" x14ac:dyDescent="0.3">
      <c r="A8" s="5" t="s">
        <v>441</v>
      </c>
      <c r="B8" s="5" t="s">
        <v>442</v>
      </c>
      <c r="C8" s="5" t="s">
        <v>443</v>
      </c>
      <c r="D8" s="5" t="s">
        <v>422</v>
      </c>
      <c r="E8" s="5" t="s">
        <v>410</v>
      </c>
      <c r="F8" s="17">
        <v>2500</v>
      </c>
      <c r="G8" s="5" t="s">
        <v>411</v>
      </c>
      <c r="H8" s="18">
        <v>3.2</v>
      </c>
      <c r="I8" s="18">
        <v>2.94</v>
      </c>
      <c r="J8" s="18">
        <v>0.26</v>
      </c>
      <c r="K8" s="18">
        <v>0.02</v>
      </c>
      <c r="L8" s="18">
        <v>0.08</v>
      </c>
      <c r="M8" s="18">
        <v>0.01</v>
      </c>
      <c r="N8" s="18">
        <v>0.15</v>
      </c>
      <c r="O8" s="18">
        <v>0</v>
      </c>
      <c r="P8" s="18">
        <v>0</v>
      </c>
      <c r="Q8" s="18">
        <v>2.84</v>
      </c>
      <c r="R8" s="18">
        <v>2.68</v>
      </c>
      <c r="S8" s="18">
        <v>1.28</v>
      </c>
      <c r="T8" s="18">
        <v>6700</v>
      </c>
      <c r="U8" s="18">
        <v>3500</v>
      </c>
      <c r="V8" s="5" t="s">
        <v>444</v>
      </c>
      <c r="W8" s="5" t="s">
        <v>413</v>
      </c>
      <c r="X8" s="5" t="s">
        <v>445</v>
      </c>
      <c r="Y8" s="5" t="s">
        <v>415</v>
      </c>
      <c r="Z8" s="5" t="s">
        <v>446</v>
      </c>
      <c r="AA8" s="5" t="s">
        <v>447</v>
      </c>
      <c r="AB8" s="5" t="s">
        <v>417</v>
      </c>
      <c r="AC8" s="5" t="s">
        <v>448</v>
      </c>
      <c r="AD8" s="18"/>
      <c r="AE8" s="5"/>
    </row>
    <row r="9" spans="1:31" ht="15" customHeight="1" x14ac:dyDescent="0.3">
      <c r="A9" s="5" t="s">
        <v>449</v>
      </c>
      <c r="B9" s="5" t="s">
        <v>450</v>
      </c>
      <c r="C9" s="5" t="s">
        <v>443</v>
      </c>
      <c r="D9" s="5" t="s">
        <v>451</v>
      </c>
      <c r="E9" s="5" t="s">
        <v>410</v>
      </c>
      <c r="F9" s="17">
        <v>100</v>
      </c>
      <c r="G9" s="5" t="s">
        <v>411</v>
      </c>
      <c r="H9" s="18">
        <v>15.2</v>
      </c>
      <c r="I9" s="18">
        <v>14.75</v>
      </c>
      <c r="J9" s="18">
        <v>0.45</v>
      </c>
      <c r="K9" s="18">
        <v>0.26</v>
      </c>
      <c r="L9" s="18">
        <v>0.32</v>
      </c>
      <c r="M9" s="18">
        <v>0.55000000000000004</v>
      </c>
      <c r="N9" s="18">
        <v>0</v>
      </c>
      <c r="O9" s="18">
        <v>0</v>
      </c>
      <c r="P9" s="18">
        <v>0.15</v>
      </c>
      <c r="Q9" s="18">
        <v>14.17</v>
      </c>
      <c r="R9" s="18">
        <v>13.47</v>
      </c>
      <c r="S9" s="18">
        <v>6.08</v>
      </c>
      <c r="T9" s="18">
        <v>1347</v>
      </c>
      <c r="U9" s="18">
        <v>739</v>
      </c>
      <c r="V9" s="5" t="s">
        <v>444</v>
      </c>
      <c r="W9" s="5" t="s">
        <v>413</v>
      </c>
      <c r="X9" s="5" t="s">
        <v>445</v>
      </c>
      <c r="Y9" s="5" t="s">
        <v>426</v>
      </c>
      <c r="Z9" s="5"/>
      <c r="AA9" s="5" t="s">
        <v>437</v>
      </c>
      <c r="AB9" s="5" t="s">
        <v>417</v>
      </c>
      <c r="AC9" s="5" t="s">
        <v>418</v>
      </c>
      <c r="AD9" s="18"/>
      <c r="AE9" s="5"/>
    </row>
    <row r="10" spans="1:31" ht="15" customHeight="1" x14ac:dyDescent="0.3">
      <c r="A10" s="5" t="s">
        <v>452</v>
      </c>
      <c r="B10" s="5" t="s">
        <v>453</v>
      </c>
      <c r="C10" s="5" t="s">
        <v>454</v>
      </c>
      <c r="D10" s="5" t="s">
        <v>422</v>
      </c>
      <c r="E10" s="5" t="s">
        <v>455</v>
      </c>
      <c r="F10" s="17">
        <v>50</v>
      </c>
      <c r="G10" s="5" t="s">
        <v>411</v>
      </c>
      <c r="H10" s="18">
        <v>3.2</v>
      </c>
      <c r="I10" s="18">
        <v>3.05</v>
      </c>
      <c r="J10" s="18">
        <v>0.15</v>
      </c>
      <c r="K10" s="18">
        <v>0.06</v>
      </c>
      <c r="L10" s="18">
        <v>0.12</v>
      </c>
      <c r="M10" s="18">
        <v>0</v>
      </c>
      <c r="N10" s="18">
        <v>0</v>
      </c>
      <c r="O10" s="18">
        <v>7.0000000000000007E-2</v>
      </c>
      <c r="P10" s="18">
        <v>0</v>
      </c>
      <c r="Q10" s="18">
        <v>2.8</v>
      </c>
      <c r="R10" s="18">
        <v>2.8</v>
      </c>
      <c r="S10" s="18">
        <v>1.28</v>
      </c>
      <c r="T10" s="18">
        <v>140</v>
      </c>
      <c r="U10" s="18">
        <v>76</v>
      </c>
      <c r="V10" s="5" t="s">
        <v>444</v>
      </c>
      <c r="W10" s="5" t="s">
        <v>413</v>
      </c>
      <c r="X10" s="5" t="s">
        <v>456</v>
      </c>
      <c r="Y10" s="5" t="s">
        <v>415</v>
      </c>
      <c r="Z10" s="5" t="s">
        <v>457</v>
      </c>
      <c r="AA10" s="5" t="s">
        <v>447</v>
      </c>
      <c r="AB10" s="5" t="s">
        <v>417</v>
      </c>
      <c r="AC10" s="5" t="s">
        <v>427</v>
      </c>
      <c r="AD10" s="18"/>
      <c r="AE10" s="5"/>
    </row>
    <row r="11" spans="1:31" ht="15" customHeight="1" x14ac:dyDescent="0.3">
      <c r="A11" s="5" t="s">
        <v>458</v>
      </c>
      <c r="B11" s="5" t="s">
        <v>459</v>
      </c>
      <c r="C11" s="5" t="s">
        <v>454</v>
      </c>
      <c r="D11" s="5" t="s">
        <v>460</v>
      </c>
      <c r="E11" s="5" t="s">
        <v>432</v>
      </c>
      <c r="F11" s="17">
        <v>2500</v>
      </c>
      <c r="G11" s="5" t="s">
        <v>411</v>
      </c>
      <c r="H11" s="18">
        <v>22.5</v>
      </c>
      <c r="I11" s="18">
        <v>20.14</v>
      </c>
      <c r="J11" s="18">
        <v>2.36</v>
      </c>
      <c r="K11" s="18">
        <v>0.18</v>
      </c>
      <c r="L11" s="18">
        <v>0.9</v>
      </c>
      <c r="M11" s="18">
        <v>0</v>
      </c>
      <c r="N11" s="18">
        <v>1.18</v>
      </c>
      <c r="O11" s="18">
        <v>0</v>
      </c>
      <c r="P11" s="18">
        <v>0</v>
      </c>
      <c r="Q11" s="18">
        <v>19.059999999999999</v>
      </c>
      <c r="R11" s="18">
        <v>17.88</v>
      </c>
      <c r="S11" s="18">
        <v>9</v>
      </c>
      <c r="T11" s="18">
        <v>44700</v>
      </c>
      <c r="U11" s="18">
        <v>22200</v>
      </c>
      <c r="V11" s="5" t="s">
        <v>444</v>
      </c>
      <c r="W11" s="5" t="s">
        <v>413</v>
      </c>
      <c r="X11" s="5" t="s">
        <v>456</v>
      </c>
      <c r="Y11" s="5" t="s">
        <v>415</v>
      </c>
      <c r="Z11" s="5" t="s">
        <v>461</v>
      </c>
      <c r="AA11" s="5"/>
      <c r="AB11" s="5" t="s">
        <v>417</v>
      </c>
      <c r="AC11" s="5" t="s">
        <v>418</v>
      </c>
      <c r="AD11" s="18"/>
      <c r="AE11" s="5"/>
    </row>
    <row r="12" spans="1:31" ht="15" customHeight="1" x14ac:dyDescent="0.3">
      <c r="A12" s="5" t="s">
        <v>462</v>
      </c>
      <c r="B12" s="5" t="s">
        <v>463</v>
      </c>
      <c r="C12" s="5" t="s">
        <v>421</v>
      </c>
      <c r="D12" s="5" t="s">
        <v>409</v>
      </c>
      <c r="E12" s="5" t="s">
        <v>455</v>
      </c>
      <c r="F12" s="17">
        <v>200</v>
      </c>
      <c r="G12" s="5" t="s">
        <v>411</v>
      </c>
      <c r="H12" s="18">
        <v>8.5</v>
      </c>
      <c r="I12" s="18">
        <v>8</v>
      </c>
      <c r="J12" s="18">
        <v>0.5</v>
      </c>
      <c r="K12" s="18">
        <v>0.03</v>
      </c>
      <c r="L12" s="18">
        <v>0.25</v>
      </c>
      <c r="M12" s="18">
        <v>0.27</v>
      </c>
      <c r="N12" s="18">
        <v>0</v>
      </c>
      <c r="O12" s="18">
        <v>0</v>
      </c>
      <c r="P12" s="18">
        <v>0</v>
      </c>
      <c r="Q12" s="18">
        <v>7.72</v>
      </c>
      <c r="R12" s="18">
        <v>7.45</v>
      </c>
      <c r="S12" s="18">
        <v>3.4</v>
      </c>
      <c r="T12" s="18">
        <v>1490</v>
      </c>
      <c r="U12" s="18">
        <v>810</v>
      </c>
      <c r="V12" s="5" t="s">
        <v>412</v>
      </c>
      <c r="W12" s="5" t="s">
        <v>424</v>
      </c>
      <c r="X12" s="5" t="s">
        <v>425</v>
      </c>
      <c r="Y12" s="5" t="s">
        <v>426</v>
      </c>
      <c r="Z12" s="5"/>
      <c r="AA12" s="5"/>
      <c r="AB12" s="5" t="s">
        <v>417</v>
      </c>
      <c r="AC12" s="5" t="s">
        <v>448</v>
      </c>
      <c r="AD12" s="18">
        <v>8.93</v>
      </c>
      <c r="AE12" s="19">
        <v>0.249</v>
      </c>
    </row>
    <row r="13" spans="1:31" ht="15" customHeight="1" x14ac:dyDescent="0.3">
      <c r="A13" s="5" t="s">
        <v>464</v>
      </c>
      <c r="B13" s="5" t="s">
        <v>465</v>
      </c>
      <c r="C13" s="5" t="s">
        <v>421</v>
      </c>
      <c r="D13" s="5" t="s">
        <v>451</v>
      </c>
      <c r="E13" s="5" t="s">
        <v>423</v>
      </c>
      <c r="F13" s="17">
        <v>2500</v>
      </c>
      <c r="G13" s="5" t="s">
        <v>411</v>
      </c>
      <c r="H13" s="18">
        <v>15.2</v>
      </c>
      <c r="I13" s="18">
        <v>14.33</v>
      </c>
      <c r="J13" s="18">
        <v>0.87</v>
      </c>
      <c r="K13" s="18">
        <v>0.25</v>
      </c>
      <c r="L13" s="18">
        <v>0.32</v>
      </c>
      <c r="M13" s="18">
        <v>0.26</v>
      </c>
      <c r="N13" s="18">
        <v>0</v>
      </c>
      <c r="O13" s="18">
        <v>0</v>
      </c>
      <c r="P13" s="18">
        <v>0</v>
      </c>
      <c r="Q13" s="18">
        <v>13.76</v>
      </c>
      <c r="R13" s="18">
        <v>13.5</v>
      </c>
      <c r="S13" s="18">
        <v>6.08</v>
      </c>
      <c r="T13" s="18">
        <v>33750</v>
      </c>
      <c r="U13" s="18">
        <v>18550</v>
      </c>
      <c r="V13" s="5" t="s">
        <v>412</v>
      </c>
      <c r="W13" s="5" t="s">
        <v>424</v>
      </c>
      <c r="X13" s="5" t="s">
        <v>425</v>
      </c>
      <c r="Y13" s="5" t="s">
        <v>415</v>
      </c>
      <c r="Z13" s="5" t="s">
        <v>436</v>
      </c>
      <c r="AA13" s="5" t="s">
        <v>466</v>
      </c>
      <c r="AB13" s="5" t="s">
        <v>417</v>
      </c>
      <c r="AC13" s="5" t="s">
        <v>427</v>
      </c>
      <c r="AD13" s="18">
        <v>16.39</v>
      </c>
      <c r="AE13" s="19">
        <v>0.21099999999999999</v>
      </c>
    </row>
    <row r="14" spans="1:31" ht="15" customHeight="1" x14ac:dyDescent="0.3">
      <c r="A14" s="5" t="s">
        <v>467</v>
      </c>
      <c r="B14" s="5" t="s">
        <v>468</v>
      </c>
      <c r="C14" s="5" t="s">
        <v>421</v>
      </c>
      <c r="D14" s="5" t="s">
        <v>460</v>
      </c>
      <c r="E14" s="5" t="s">
        <v>432</v>
      </c>
      <c r="F14" s="17">
        <v>100</v>
      </c>
      <c r="G14" s="5" t="s">
        <v>411</v>
      </c>
      <c r="H14" s="18">
        <v>22.5</v>
      </c>
      <c r="I14" s="18">
        <v>21.89</v>
      </c>
      <c r="J14" s="18">
        <v>0.61</v>
      </c>
      <c r="K14" s="18">
        <v>0.23</v>
      </c>
      <c r="L14" s="18">
        <v>1.06</v>
      </c>
      <c r="M14" s="18">
        <v>0</v>
      </c>
      <c r="N14" s="18">
        <v>0</v>
      </c>
      <c r="O14" s="18">
        <v>0</v>
      </c>
      <c r="P14" s="18">
        <v>0</v>
      </c>
      <c r="Q14" s="18">
        <v>20.6</v>
      </c>
      <c r="R14" s="18">
        <v>20.6</v>
      </c>
      <c r="S14" s="18">
        <v>9</v>
      </c>
      <c r="T14" s="18">
        <v>2060</v>
      </c>
      <c r="U14" s="18">
        <v>1160</v>
      </c>
      <c r="V14" s="5" t="s">
        <v>412</v>
      </c>
      <c r="W14" s="5" t="s">
        <v>424</v>
      </c>
      <c r="X14" s="5" t="s">
        <v>425</v>
      </c>
      <c r="Y14" s="5" t="s">
        <v>415</v>
      </c>
      <c r="Z14" s="5" t="s">
        <v>469</v>
      </c>
      <c r="AA14" s="5"/>
      <c r="AB14" s="5" t="s">
        <v>417</v>
      </c>
      <c r="AC14" s="5" t="s">
        <v>427</v>
      </c>
      <c r="AD14" s="18">
        <v>26.08</v>
      </c>
      <c r="AE14" s="19">
        <v>0.13200000000000001</v>
      </c>
    </row>
    <row r="15" spans="1:31" ht="15" customHeight="1" x14ac:dyDescent="0.3">
      <c r="A15" s="5" t="s">
        <v>470</v>
      </c>
      <c r="B15" s="5" t="s">
        <v>471</v>
      </c>
      <c r="C15" s="5" t="s">
        <v>421</v>
      </c>
      <c r="D15" s="5" t="s">
        <v>440</v>
      </c>
      <c r="E15" s="5" t="s">
        <v>410</v>
      </c>
      <c r="F15" s="17">
        <v>2500</v>
      </c>
      <c r="G15" s="5" t="s">
        <v>411</v>
      </c>
      <c r="H15" s="18">
        <v>0.45</v>
      </c>
      <c r="I15" s="18">
        <v>0.42</v>
      </c>
      <c r="J15" s="18">
        <v>0.03</v>
      </c>
      <c r="K15" s="18">
        <v>0.01</v>
      </c>
      <c r="L15" s="18">
        <v>0.03</v>
      </c>
      <c r="M15" s="18">
        <v>0.01</v>
      </c>
      <c r="N15" s="18">
        <v>0</v>
      </c>
      <c r="O15" s="18">
        <v>0</v>
      </c>
      <c r="P15" s="18">
        <v>0</v>
      </c>
      <c r="Q15" s="18">
        <v>0.38</v>
      </c>
      <c r="R15" s="18">
        <v>0.37</v>
      </c>
      <c r="S15" s="18">
        <v>0.18</v>
      </c>
      <c r="T15" s="18">
        <v>925</v>
      </c>
      <c r="U15" s="18">
        <v>475</v>
      </c>
      <c r="V15" s="5" t="s">
        <v>412</v>
      </c>
      <c r="W15" s="5" t="s">
        <v>424</v>
      </c>
      <c r="X15" s="5" t="s">
        <v>425</v>
      </c>
      <c r="Y15" s="5" t="s">
        <v>426</v>
      </c>
      <c r="Z15" s="5"/>
      <c r="AA15" s="5"/>
      <c r="AB15" s="5" t="s">
        <v>417</v>
      </c>
      <c r="AC15" s="5" t="s">
        <v>448</v>
      </c>
      <c r="AD15" s="18">
        <v>0.55000000000000004</v>
      </c>
      <c r="AE15" s="19">
        <v>0.156</v>
      </c>
    </row>
    <row r="16" spans="1:31" ht="15" customHeight="1" x14ac:dyDescent="0.3">
      <c r="A16" s="5" t="s">
        <v>472</v>
      </c>
      <c r="B16" s="5" t="s">
        <v>473</v>
      </c>
      <c r="C16" s="5" t="s">
        <v>474</v>
      </c>
      <c r="D16" s="5" t="s">
        <v>422</v>
      </c>
      <c r="E16" s="5" t="s">
        <v>475</v>
      </c>
      <c r="F16" s="17">
        <v>5000</v>
      </c>
      <c r="G16" s="5" t="s">
        <v>411</v>
      </c>
      <c r="H16" s="18">
        <v>3.2</v>
      </c>
      <c r="I16" s="18">
        <v>2.92</v>
      </c>
      <c r="J16" s="18">
        <v>0.28000000000000003</v>
      </c>
      <c r="K16" s="18">
        <v>0.06</v>
      </c>
      <c r="L16" s="18">
        <v>0.25</v>
      </c>
      <c r="M16" s="18">
        <v>0</v>
      </c>
      <c r="N16" s="18">
        <v>0</v>
      </c>
      <c r="O16" s="18">
        <v>0</v>
      </c>
      <c r="P16" s="18">
        <v>0.02</v>
      </c>
      <c r="Q16" s="18">
        <v>2.61</v>
      </c>
      <c r="R16" s="18">
        <v>2.59</v>
      </c>
      <c r="S16" s="18">
        <v>1.28</v>
      </c>
      <c r="T16" s="18">
        <v>12950</v>
      </c>
      <c r="U16" s="18">
        <v>6550</v>
      </c>
      <c r="V16" s="5" t="s">
        <v>434</v>
      </c>
      <c r="W16" s="5" t="s">
        <v>435</v>
      </c>
      <c r="X16" s="5" t="s">
        <v>456</v>
      </c>
      <c r="Y16" s="5" t="s">
        <v>415</v>
      </c>
      <c r="Z16" s="5" t="s">
        <v>476</v>
      </c>
      <c r="AA16" s="5"/>
      <c r="AB16" s="5" t="s">
        <v>417</v>
      </c>
      <c r="AC16" s="5" t="s">
        <v>448</v>
      </c>
      <c r="AD16" s="18">
        <v>4.1399999999999997</v>
      </c>
      <c r="AE16" s="19">
        <v>0.16500000000000001</v>
      </c>
    </row>
    <row r="17" spans="1:31" ht="15" customHeight="1" x14ac:dyDescent="0.3">
      <c r="A17" s="5" t="s">
        <v>477</v>
      </c>
      <c r="B17" s="5" t="s">
        <v>478</v>
      </c>
      <c r="C17" s="5" t="s">
        <v>479</v>
      </c>
      <c r="D17" s="5" t="s">
        <v>460</v>
      </c>
      <c r="E17" s="5" t="s">
        <v>423</v>
      </c>
      <c r="F17" s="17">
        <v>5000</v>
      </c>
      <c r="G17" s="5" t="s">
        <v>411</v>
      </c>
      <c r="H17" s="18">
        <v>22.5</v>
      </c>
      <c r="I17" s="18">
        <v>20.010000000000002</v>
      </c>
      <c r="J17" s="18">
        <v>2.4900000000000002</v>
      </c>
      <c r="K17" s="18">
        <v>0.3</v>
      </c>
      <c r="L17" s="18">
        <v>1.55</v>
      </c>
      <c r="M17" s="18">
        <v>0.05</v>
      </c>
      <c r="N17" s="18">
        <v>1.1299999999999999</v>
      </c>
      <c r="O17" s="18">
        <v>0.63</v>
      </c>
      <c r="P17" s="18">
        <v>7.0000000000000007E-2</v>
      </c>
      <c r="Q17" s="18">
        <v>17.53</v>
      </c>
      <c r="R17" s="18">
        <v>16.28</v>
      </c>
      <c r="S17" s="18">
        <v>9</v>
      </c>
      <c r="T17" s="18">
        <v>81400</v>
      </c>
      <c r="U17" s="18">
        <v>36400</v>
      </c>
      <c r="V17" s="5" t="s">
        <v>444</v>
      </c>
      <c r="W17" s="5" t="s">
        <v>424</v>
      </c>
      <c r="X17" s="5" t="s">
        <v>445</v>
      </c>
      <c r="Y17" s="5" t="s">
        <v>426</v>
      </c>
      <c r="Z17" s="5"/>
      <c r="AA17" s="5"/>
      <c r="AB17" s="5" t="s">
        <v>417</v>
      </c>
      <c r="AC17" s="5" t="s">
        <v>448</v>
      </c>
      <c r="AD17" s="18">
        <v>25.7</v>
      </c>
      <c r="AE17" s="19">
        <v>0.188</v>
      </c>
    </row>
    <row r="18" spans="1:31" ht="15" customHeight="1" x14ac:dyDescent="0.3">
      <c r="A18" s="5" t="s">
        <v>480</v>
      </c>
      <c r="B18" s="5" t="s">
        <v>481</v>
      </c>
      <c r="C18" s="5" t="s">
        <v>454</v>
      </c>
      <c r="D18" s="5" t="s">
        <v>422</v>
      </c>
      <c r="E18" s="5" t="s">
        <v>432</v>
      </c>
      <c r="F18" s="17">
        <v>500</v>
      </c>
      <c r="G18" s="5" t="s">
        <v>411</v>
      </c>
      <c r="H18" s="18">
        <v>3.2</v>
      </c>
      <c r="I18" s="18">
        <v>3.1</v>
      </c>
      <c r="J18" s="18">
        <v>0.1</v>
      </c>
      <c r="K18" s="18">
        <v>0.08</v>
      </c>
      <c r="L18" s="18">
        <v>0.12</v>
      </c>
      <c r="M18" s="18">
        <v>0.12</v>
      </c>
      <c r="N18" s="18">
        <v>0.11</v>
      </c>
      <c r="O18" s="18">
        <v>0.01</v>
      </c>
      <c r="P18" s="18">
        <v>0</v>
      </c>
      <c r="Q18" s="18">
        <v>2.89</v>
      </c>
      <c r="R18" s="18">
        <v>2.66</v>
      </c>
      <c r="S18" s="18">
        <v>1.28</v>
      </c>
      <c r="T18" s="18">
        <v>1330</v>
      </c>
      <c r="U18" s="18">
        <v>690</v>
      </c>
      <c r="V18" s="5" t="s">
        <v>444</v>
      </c>
      <c r="W18" s="5" t="s">
        <v>413</v>
      </c>
      <c r="X18" s="5" t="s">
        <v>456</v>
      </c>
      <c r="Y18" s="5" t="s">
        <v>426</v>
      </c>
      <c r="Z18" s="5"/>
      <c r="AA18" s="5"/>
      <c r="AB18" s="5" t="s">
        <v>417</v>
      </c>
      <c r="AC18" s="5" t="s">
        <v>482</v>
      </c>
      <c r="AD18" s="18"/>
      <c r="AE18" s="5"/>
    </row>
    <row r="19" spans="1:31" ht="15" customHeight="1" x14ac:dyDescent="0.3">
      <c r="A19" s="5" t="s">
        <v>483</v>
      </c>
      <c r="B19" s="5" t="s">
        <v>484</v>
      </c>
      <c r="C19" s="5" t="s">
        <v>485</v>
      </c>
      <c r="D19" s="5" t="s">
        <v>409</v>
      </c>
      <c r="E19" s="5" t="s">
        <v>455</v>
      </c>
      <c r="F19" s="17">
        <v>500</v>
      </c>
      <c r="G19" s="5" t="s">
        <v>411</v>
      </c>
      <c r="H19" s="18">
        <v>8.5</v>
      </c>
      <c r="I19" s="18">
        <v>7.99</v>
      </c>
      <c r="J19" s="18">
        <v>0.51</v>
      </c>
      <c r="K19" s="18">
        <v>0.22</v>
      </c>
      <c r="L19" s="18">
        <v>0.11</v>
      </c>
      <c r="M19" s="18">
        <v>0.03</v>
      </c>
      <c r="N19" s="18">
        <v>0</v>
      </c>
      <c r="O19" s="18">
        <v>0</v>
      </c>
      <c r="P19" s="18">
        <v>0</v>
      </c>
      <c r="Q19" s="18">
        <v>7.66</v>
      </c>
      <c r="R19" s="18">
        <v>7.63</v>
      </c>
      <c r="S19" s="18">
        <v>3.4</v>
      </c>
      <c r="T19" s="18">
        <v>3815</v>
      </c>
      <c r="U19" s="18">
        <v>2115</v>
      </c>
      <c r="V19" s="5" t="s">
        <v>444</v>
      </c>
      <c r="W19" s="5" t="s">
        <v>413</v>
      </c>
      <c r="X19" s="5" t="s">
        <v>456</v>
      </c>
      <c r="Y19" s="5" t="s">
        <v>415</v>
      </c>
      <c r="Z19" s="5" t="s">
        <v>486</v>
      </c>
      <c r="AA19" s="5"/>
      <c r="AB19" s="5" t="s">
        <v>417</v>
      </c>
      <c r="AC19" s="5" t="s">
        <v>418</v>
      </c>
      <c r="AD19" s="18"/>
      <c r="AE19" s="5"/>
    </row>
    <row r="20" spans="1:31" ht="15" customHeight="1" x14ac:dyDescent="0.3">
      <c r="A20" s="5" t="s">
        <v>487</v>
      </c>
      <c r="B20" s="5" t="s">
        <v>488</v>
      </c>
      <c r="C20" s="5" t="s">
        <v>430</v>
      </c>
      <c r="D20" s="5" t="s">
        <v>409</v>
      </c>
      <c r="E20" s="5" t="s">
        <v>455</v>
      </c>
      <c r="F20" s="17">
        <v>50</v>
      </c>
      <c r="G20" s="5" t="s">
        <v>411</v>
      </c>
      <c r="H20" s="18">
        <v>8.5</v>
      </c>
      <c r="I20" s="18">
        <v>8.07</v>
      </c>
      <c r="J20" s="18">
        <v>0.43</v>
      </c>
      <c r="K20" s="18">
        <v>0.15</v>
      </c>
      <c r="L20" s="18">
        <v>0.36</v>
      </c>
      <c r="M20" s="18">
        <v>7.0000000000000007E-2</v>
      </c>
      <c r="N20" s="18">
        <v>0.12</v>
      </c>
      <c r="O20" s="18">
        <v>0</v>
      </c>
      <c r="P20" s="18">
        <v>0</v>
      </c>
      <c r="Q20" s="18">
        <v>7.56</v>
      </c>
      <c r="R20" s="18">
        <v>7.37</v>
      </c>
      <c r="S20" s="18">
        <v>3.4</v>
      </c>
      <c r="T20" s="18">
        <v>368.5</v>
      </c>
      <c r="U20" s="18">
        <v>198.5</v>
      </c>
      <c r="V20" s="5" t="s">
        <v>434</v>
      </c>
      <c r="W20" s="5" t="s">
        <v>435</v>
      </c>
      <c r="X20" s="5" t="s">
        <v>414</v>
      </c>
      <c r="Y20" s="5" t="s">
        <v>489</v>
      </c>
      <c r="Z20" s="5" t="s">
        <v>486</v>
      </c>
      <c r="AA20" s="5"/>
      <c r="AB20" s="5" t="s">
        <v>417</v>
      </c>
      <c r="AC20" s="5" t="s">
        <v>482</v>
      </c>
      <c r="AD20" s="18">
        <v>9.83</v>
      </c>
      <c r="AE20" s="19">
        <v>0.158</v>
      </c>
    </row>
    <row r="21" spans="1:31" ht="15" customHeight="1" x14ac:dyDescent="0.3">
      <c r="A21" s="5" t="s">
        <v>490</v>
      </c>
      <c r="B21" s="5" t="s">
        <v>491</v>
      </c>
      <c r="C21" s="5" t="s">
        <v>443</v>
      </c>
      <c r="D21" s="5" t="s">
        <v>492</v>
      </c>
      <c r="E21" s="5" t="s">
        <v>455</v>
      </c>
      <c r="F21" s="17">
        <v>50</v>
      </c>
      <c r="G21" s="5" t="s">
        <v>411</v>
      </c>
      <c r="H21" s="18">
        <v>28</v>
      </c>
      <c r="I21" s="18">
        <v>27.75</v>
      </c>
      <c r="J21" s="18">
        <v>0.25</v>
      </c>
      <c r="K21" s="18">
        <v>0.18</v>
      </c>
      <c r="L21" s="18">
        <v>0.59</v>
      </c>
      <c r="M21" s="18">
        <v>0.99</v>
      </c>
      <c r="N21" s="18">
        <v>0.62</v>
      </c>
      <c r="O21" s="18">
        <v>0</v>
      </c>
      <c r="P21" s="18">
        <v>0.39</v>
      </c>
      <c r="Q21" s="18">
        <v>26.98</v>
      </c>
      <c r="R21" s="18">
        <v>24.98</v>
      </c>
      <c r="S21" s="18">
        <v>11.2</v>
      </c>
      <c r="T21" s="18">
        <v>1249</v>
      </c>
      <c r="U21" s="18">
        <v>689</v>
      </c>
      <c r="V21" s="5" t="s">
        <v>444</v>
      </c>
      <c r="W21" s="5" t="s">
        <v>413</v>
      </c>
      <c r="X21" s="5" t="s">
        <v>445</v>
      </c>
      <c r="Y21" s="5" t="s">
        <v>415</v>
      </c>
      <c r="Z21" s="5" t="s">
        <v>469</v>
      </c>
      <c r="AA21" s="5" t="s">
        <v>493</v>
      </c>
      <c r="AB21" s="5" t="s">
        <v>417</v>
      </c>
      <c r="AC21" s="5" t="s">
        <v>427</v>
      </c>
      <c r="AD21" s="18"/>
      <c r="AE21" s="5"/>
    </row>
    <row r="22" spans="1:31" ht="15" customHeight="1" x14ac:dyDescent="0.3">
      <c r="A22" s="5" t="s">
        <v>494</v>
      </c>
      <c r="B22" s="5" t="s">
        <v>495</v>
      </c>
      <c r="C22" s="5" t="s">
        <v>408</v>
      </c>
      <c r="D22" s="5" t="s">
        <v>451</v>
      </c>
      <c r="E22" s="5" t="s">
        <v>410</v>
      </c>
      <c r="F22" s="17">
        <v>50</v>
      </c>
      <c r="G22" s="5" t="s">
        <v>411</v>
      </c>
      <c r="H22" s="18">
        <v>15.2</v>
      </c>
      <c r="I22" s="18">
        <v>13.58</v>
      </c>
      <c r="J22" s="18">
        <v>1.62</v>
      </c>
      <c r="K22" s="18">
        <v>0.34</v>
      </c>
      <c r="L22" s="18">
        <v>0.19</v>
      </c>
      <c r="M22" s="18">
        <v>0</v>
      </c>
      <c r="N22" s="18">
        <v>0</v>
      </c>
      <c r="O22" s="18">
        <v>0</v>
      </c>
      <c r="P22" s="18">
        <v>0</v>
      </c>
      <c r="Q22" s="18">
        <v>13.05</v>
      </c>
      <c r="R22" s="18">
        <v>13.05</v>
      </c>
      <c r="S22" s="18">
        <v>6.08</v>
      </c>
      <c r="T22" s="18">
        <v>652.5</v>
      </c>
      <c r="U22" s="18">
        <v>348.5</v>
      </c>
      <c r="V22" s="5" t="s">
        <v>412</v>
      </c>
      <c r="W22" s="5" t="s">
        <v>413</v>
      </c>
      <c r="X22" s="5" t="s">
        <v>414</v>
      </c>
      <c r="Y22" s="5" t="s">
        <v>489</v>
      </c>
      <c r="Z22" s="5" t="s">
        <v>496</v>
      </c>
      <c r="AA22" s="5"/>
      <c r="AB22" s="5" t="s">
        <v>417</v>
      </c>
      <c r="AC22" s="5" t="s">
        <v>482</v>
      </c>
      <c r="AD22" s="18"/>
      <c r="AE22" s="5"/>
    </row>
    <row r="23" spans="1:31" ht="15" customHeight="1" x14ac:dyDescent="0.3">
      <c r="A23" s="5" t="s">
        <v>497</v>
      </c>
      <c r="B23" s="5" t="s">
        <v>498</v>
      </c>
      <c r="C23" s="5" t="s">
        <v>474</v>
      </c>
      <c r="D23" s="5" t="s">
        <v>431</v>
      </c>
      <c r="E23" s="5" t="s">
        <v>432</v>
      </c>
      <c r="F23" s="17">
        <v>50</v>
      </c>
      <c r="G23" s="5" t="s">
        <v>433</v>
      </c>
      <c r="H23" s="18">
        <v>42</v>
      </c>
      <c r="I23" s="18">
        <v>40.32</v>
      </c>
      <c r="J23" s="18">
        <v>1.68</v>
      </c>
      <c r="K23" s="18">
        <v>0.16</v>
      </c>
      <c r="L23" s="18">
        <v>3.29</v>
      </c>
      <c r="M23" s="18">
        <v>0</v>
      </c>
      <c r="N23" s="18">
        <v>0</v>
      </c>
      <c r="O23" s="18">
        <v>0.71</v>
      </c>
      <c r="P23" s="18">
        <v>0</v>
      </c>
      <c r="Q23" s="18">
        <v>36.159999999999997</v>
      </c>
      <c r="R23" s="18">
        <v>36.159999999999997</v>
      </c>
      <c r="S23" s="18">
        <v>16.8</v>
      </c>
      <c r="T23" s="18">
        <v>1808</v>
      </c>
      <c r="U23" s="18">
        <v>968</v>
      </c>
      <c r="V23" s="5" t="s">
        <v>434</v>
      </c>
      <c r="W23" s="5" t="s">
        <v>435</v>
      </c>
      <c r="X23" s="5" t="s">
        <v>456</v>
      </c>
      <c r="Y23" s="5" t="s">
        <v>415</v>
      </c>
      <c r="Z23" s="5" t="s">
        <v>499</v>
      </c>
      <c r="AA23" s="5"/>
      <c r="AB23" s="5" t="s">
        <v>417</v>
      </c>
      <c r="AC23" s="5" t="s">
        <v>427</v>
      </c>
      <c r="AD23" s="18">
        <v>53.3</v>
      </c>
      <c r="AE23" s="19">
        <v>0.105</v>
      </c>
    </row>
    <row r="24" spans="1:31" ht="15" customHeight="1" x14ac:dyDescent="0.3">
      <c r="A24" s="5" t="s">
        <v>500</v>
      </c>
      <c r="B24" s="5" t="s">
        <v>501</v>
      </c>
      <c r="C24" s="5" t="s">
        <v>421</v>
      </c>
      <c r="D24" s="5" t="s">
        <v>451</v>
      </c>
      <c r="E24" s="5" t="s">
        <v>475</v>
      </c>
      <c r="F24" s="17">
        <v>100</v>
      </c>
      <c r="G24" s="5" t="s">
        <v>411</v>
      </c>
      <c r="H24" s="18">
        <v>15.2</v>
      </c>
      <c r="I24" s="18">
        <v>15.12</v>
      </c>
      <c r="J24" s="18">
        <v>0.08</v>
      </c>
      <c r="K24" s="18">
        <v>0.17</v>
      </c>
      <c r="L24" s="18">
        <v>1.1299999999999999</v>
      </c>
      <c r="M24" s="18">
        <v>0.02</v>
      </c>
      <c r="N24" s="18">
        <v>0</v>
      </c>
      <c r="O24" s="18">
        <v>0</v>
      </c>
      <c r="P24" s="18">
        <v>0</v>
      </c>
      <c r="Q24" s="18">
        <v>13.82</v>
      </c>
      <c r="R24" s="18">
        <v>13.8</v>
      </c>
      <c r="S24" s="18">
        <v>6.08</v>
      </c>
      <c r="T24" s="18">
        <v>1380</v>
      </c>
      <c r="U24" s="18">
        <v>772</v>
      </c>
      <c r="V24" s="5" t="s">
        <v>412</v>
      </c>
      <c r="W24" s="5" t="s">
        <v>424</v>
      </c>
      <c r="X24" s="5" t="s">
        <v>425</v>
      </c>
      <c r="Y24" s="5" t="s">
        <v>489</v>
      </c>
      <c r="Z24" s="5" t="s">
        <v>502</v>
      </c>
      <c r="AA24" s="5" t="s">
        <v>466</v>
      </c>
      <c r="AB24" s="5" t="s">
        <v>417</v>
      </c>
      <c r="AC24" s="5" t="s">
        <v>418</v>
      </c>
      <c r="AD24" s="18">
        <v>18.88</v>
      </c>
      <c r="AE24" s="19">
        <v>0.13600000000000001</v>
      </c>
    </row>
    <row r="25" spans="1:31" ht="15" customHeight="1" x14ac:dyDescent="0.3">
      <c r="A25" s="5" t="s">
        <v>503</v>
      </c>
      <c r="B25" s="5" t="s">
        <v>504</v>
      </c>
      <c r="C25" s="5" t="s">
        <v>454</v>
      </c>
      <c r="D25" s="5" t="s">
        <v>451</v>
      </c>
      <c r="E25" s="5" t="s">
        <v>475</v>
      </c>
      <c r="F25" s="17">
        <v>50</v>
      </c>
      <c r="G25" s="5" t="s">
        <v>411</v>
      </c>
      <c r="H25" s="18">
        <v>15.2</v>
      </c>
      <c r="I25" s="18">
        <v>14.87</v>
      </c>
      <c r="J25" s="18">
        <v>0.33</v>
      </c>
      <c r="K25" s="18">
        <v>0.42</v>
      </c>
      <c r="L25" s="18">
        <v>0.95</v>
      </c>
      <c r="M25" s="18">
        <v>0.41</v>
      </c>
      <c r="N25" s="18">
        <v>0.23</v>
      </c>
      <c r="O25" s="18">
        <v>0</v>
      </c>
      <c r="P25" s="18">
        <v>0</v>
      </c>
      <c r="Q25" s="18">
        <v>13.5</v>
      </c>
      <c r="R25" s="18">
        <v>12.86</v>
      </c>
      <c r="S25" s="18">
        <v>6.08</v>
      </c>
      <c r="T25" s="18">
        <v>643</v>
      </c>
      <c r="U25" s="18">
        <v>339</v>
      </c>
      <c r="V25" s="5" t="s">
        <v>444</v>
      </c>
      <c r="W25" s="5" t="s">
        <v>413</v>
      </c>
      <c r="X25" s="5" t="s">
        <v>456</v>
      </c>
      <c r="Y25" s="5" t="s">
        <v>426</v>
      </c>
      <c r="Z25" s="5"/>
      <c r="AA25" s="5" t="s">
        <v>466</v>
      </c>
      <c r="AB25" s="5" t="s">
        <v>417</v>
      </c>
      <c r="AC25" s="5" t="s">
        <v>418</v>
      </c>
      <c r="AD25" s="18"/>
      <c r="AE25" s="5"/>
    </row>
    <row r="26" spans="1:31" ht="15" customHeight="1" x14ac:dyDescent="0.3">
      <c r="A26" s="5" t="s">
        <v>505</v>
      </c>
      <c r="B26" s="5" t="s">
        <v>506</v>
      </c>
      <c r="C26" s="5" t="s">
        <v>443</v>
      </c>
      <c r="D26" s="5" t="s">
        <v>507</v>
      </c>
      <c r="E26" s="5" t="s">
        <v>410</v>
      </c>
      <c r="F26" s="17">
        <v>5000</v>
      </c>
      <c r="G26" s="5" t="s">
        <v>433</v>
      </c>
      <c r="H26" s="18">
        <v>8.9</v>
      </c>
      <c r="I26" s="18">
        <v>8.0500000000000007</v>
      </c>
      <c r="J26" s="18">
        <v>0.85</v>
      </c>
      <c r="K26" s="18">
        <v>0.06</v>
      </c>
      <c r="L26" s="18">
        <v>0.02</v>
      </c>
      <c r="M26" s="18">
        <v>0</v>
      </c>
      <c r="N26" s="18">
        <v>0</v>
      </c>
      <c r="O26" s="18">
        <v>0.26</v>
      </c>
      <c r="P26" s="18">
        <v>0</v>
      </c>
      <c r="Q26" s="18">
        <v>7.71</v>
      </c>
      <c r="R26" s="18">
        <v>7.71</v>
      </c>
      <c r="S26" s="18">
        <v>3.56</v>
      </c>
      <c r="T26" s="18">
        <v>38550</v>
      </c>
      <c r="U26" s="18">
        <v>20750</v>
      </c>
      <c r="V26" s="5" t="s">
        <v>444</v>
      </c>
      <c r="W26" s="5" t="s">
        <v>413</v>
      </c>
      <c r="X26" s="5" t="s">
        <v>445</v>
      </c>
      <c r="Y26" s="5" t="s">
        <v>415</v>
      </c>
      <c r="Z26" s="5" t="s">
        <v>499</v>
      </c>
      <c r="AA26" s="5"/>
      <c r="AB26" s="5" t="s">
        <v>417</v>
      </c>
      <c r="AC26" s="5" t="s">
        <v>427</v>
      </c>
      <c r="AD26" s="18"/>
      <c r="AE26" s="5"/>
    </row>
    <row r="27" spans="1:31" ht="15" customHeight="1" x14ac:dyDescent="0.3">
      <c r="A27" s="5" t="s">
        <v>508</v>
      </c>
      <c r="B27" s="5" t="s">
        <v>509</v>
      </c>
      <c r="C27" s="5" t="s">
        <v>408</v>
      </c>
      <c r="D27" s="5" t="s">
        <v>431</v>
      </c>
      <c r="E27" s="5" t="s">
        <v>423</v>
      </c>
      <c r="F27" s="17">
        <v>1000</v>
      </c>
      <c r="G27" s="5" t="s">
        <v>433</v>
      </c>
      <c r="H27" s="18">
        <v>42</v>
      </c>
      <c r="I27" s="18">
        <v>37.15</v>
      </c>
      <c r="J27" s="18">
        <v>4.8499999999999996</v>
      </c>
      <c r="K27" s="18">
        <v>0.33</v>
      </c>
      <c r="L27" s="18">
        <v>0.36</v>
      </c>
      <c r="M27" s="18">
        <v>1.22</v>
      </c>
      <c r="N27" s="18">
        <v>0</v>
      </c>
      <c r="O27" s="18">
        <v>0</v>
      </c>
      <c r="P27" s="18">
        <v>0</v>
      </c>
      <c r="Q27" s="18">
        <v>36.46</v>
      </c>
      <c r="R27" s="18">
        <v>35.24</v>
      </c>
      <c r="S27" s="18">
        <v>16.8</v>
      </c>
      <c r="T27" s="18">
        <v>35240</v>
      </c>
      <c r="U27" s="18">
        <v>18440</v>
      </c>
      <c r="V27" s="5" t="s">
        <v>412</v>
      </c>
      <c r="W27" s="5" t="s">
        <v>413</v>
      </c>
      <c r="X27" s="5" t="s">
        <v>414</v>
      </c>
      <c r="Y27" s="5" t="s">
        <v>426</v>
      </c>
      <c r="Z27" s="5"/>
      <c r="AA27" s="5" t="s">
        <v>510</v>
      </c>
      <c r="AB27" s="5" t="s">
        <v>417</v>
      </c>
      <c r="AC27" s="5" t="s">
        <v>427</v>
      </c>
      <c r="AD27" s="18"/>
      <c r="AE27" s="5"/>
    </row>
    <row r="28" spans="1:31" ht="15" customHeight="1" x14ac:dyDescent="0.3">
      <c r="A28" s="5" t="s">
        <v>511</v>
      </c>
      <c r="B28" s="5" t="s">
        <v>512</v>
      </c>
      <c r="C28" s="5" t="s">
        <v>474</v>
      </c>
      <c r="D28" s="5" t="s">
        <v>409</v>
      </c>
      <c r="E28" s="5" t="s">
        <v>455</v>
      </c>
      <c r="F28" s="17">
        <v>5000</v>
      </c>
      <c r="G28" s="5" t="s">
        <v>411</v>
      </c>
      <c r="H28" s="18">
        <v>8.5</v>
      </c>
      <c r="I28" s="18">
        <v>7.95</v>
      </c>
      <c r="J28" s="18">
        <v>0.55000000000000004</v>
      </c>
      <c r="K28" s="18">
        <v>0.18</v>
      </c>
      <c r="L28" s="18">
        <v>0.5</v>
      </c>
      <c r="M28" s="18">
        <v>0.12</v>
      </c>
      <c r="N28" s="18">
        <v>0</v>
      </c>
      <c r="O28" s="18">
        <v>0</v>
      </c>
      <c r="P28" s="18">
        <v>0</v>
      </c>
      <c r="Q28" s="18">
        <v>7.27</v>
      </c>
      <c r="R28" s="18">
        <v>7.15</v>
      </c>
      <c r="S28" s="18">
        <v>3.4</v>
      </c>
      <c r="T28" s="18">
        <v>35750</v>
      </c>
      <c r="U28" s="18">
        <v>18750</v>
      </c>
      <c r="V28" s="5" t="s">
        <v>434</v>
      </c>
      <c r="W28" s="5" t="s">
        <v>435</v>
      </c>
      <c r="X28" s="5" t="s">
        <v>456</v>
      </c>
      <c r="Y28" s="5" t="s">
        <v>489</v>
      </c>
      <c r="Z28" s="5" t="s">
        <v>457</v>
      </c>
      <c r="AA28" s="5"/>
      <c r="AB28" s="5" t="s">
        <v>417</v>
      </c>
      <c r="AC28" s="5" t="s">
        <v>427</v>
      </c>
      <c r="AD28" s="18">
        <v>10.85</v>
      </c>
      <c r="AE28" s="19">
        <v>0.10199999999999999</v>
      </c>
    </row>
    <row r="29" spans="1:31" ht="15" customHeight="1" x14ac:dyDescent="0.3">
      <c r="A29" s="5" t="s">
        <v>513</v>
      </c>
      <c r="B29" s="5" t="s">
        <v>514</v>
      </c>
      <c r="C29" s="5" t="s">
        <v>479</v>
      </c>
      <c r="D29" s="5" t="s">
        <v>422</v>
      </c>
      <c r="E29" s="5" t="s">
        <v>410</v>
      </c>
      <c r="F29" s="17">
        <v>500</v>
      </c>
      <c r="G29" s="5" t="s">
        <v>411</v>
      </c>
      <c r="H29" s="18">
        <v>3.2</v>
      </c>
      <c r="I29" s="18">
        <v>2.93</v>
      </c>
      <c r="J29" s="18">
        <v>0.27</v>
      </c>
      <c r="K29" s="18">
        <v>0.05</v>
      </c>
      <c r="L29" s="18">
        <v>0.05</v>
      </c>
      <c r="M29" s="18">
        <v>0.05</v>
      </c>
      <c r="N29" s="18">
        <v>0.03</v>
      </c>
      <c r="O29" s="18">
        <v>0</v>
      </c>
      <c r="P29" s="18">
        <v>0</v>
      </c>
      <c r="Q29" s="18">
        <v>2.83</v>
      </c>
      <c r="R29" s="18">
        <v>2.75</v>
      </c>
      <c r="S29" s="18">
        <v>1.28</v>
      </c>
      <c r="T29" s="18">
        <v>1375</v>
      </c>
      <c r="U29" s="18">
        <v>735</v>
      </c>
      <c r="V29" s="5" t="s">
        <v>444</v>
      </c>
      <c r="W29" s="5" t="s">
        <v>424</v>
      </c>
      <c r="X29" s="5" t="s">
        <v>445</v>
      </c>
      <c r="Y29" s="5" t="s">
        <v>426</v>
      </c>
      <c r="Z29" s="5"/>
      <c r="AA29" s="5"/>
      <c r="AB29" s="5" t="s">
        <v>417</v>
      </c>
      <c r="AC29" s="5" t="s">
        <v>418</v>
      </c>
      <c r="AD29" s="18">
        <v>3.57</v>
      </c>
      <c r="AE29" s="19">
        <v>0.16500000000000001</v>
      </c>
    </row>
    <row r="30" spans="1:31" ht="15" customHeight="1" x14ac:dyDescent="0.3">
      <c r="A30" s="5" t="s">
        <v>515</v>
      </c>
      <c r="B30" s="5" t="s">
        <v>516</v>
      </c>
      <c r="C30" s="5" t="s">
        <v>430</v>
      </c>
      <c r="D30" s="5" t="s">
        <v>492</v>
      </c>
      <c r="E30" s="5" t="s">
        <v>410</v>
      </c>
      <c r="F30" s="17">
        <v>500</v>
      </c>
      <c r="G30" s="5" t="s">
        <v>411</v>
      </c>
      <c r="H30" s="18">
        <v>28</v>
      </c>
      <c r="I30" s="18">
        <v>26.52</v>
      </c>
      <c r="J30" s="18">
        <v>1.48</v>
      </c>
      <c r="K30" s="18">
        <v>0.56999999999999995</v>
      </c>
      <c r="L30" s="18">
        <v>1.1499999999999999</v>
      </c>
      <c r="M30" s="18">
        <v>1.08</v>
      </c>
      <c r="N30" s="18">
        <v>1.1100000000000001</v>
      </c>
      <c r="O30" s="18">
        <v>0</v>
      </c>
      <c r="P30" s="18">
        <v>0</v>
      </c>
      <c r="Q30" s="18">
        <v>24.8</v>
      </c>
      <c r="R30" s="18">
        <v>22.61</v>
      </c>
      <c r="S30" s="18">
        <v>11.2</v>
      </c>
      <c r="T30" s="18">
        <v>11305</v>
      </c>
      <c r="U30" s="18">
        <v>5705</v>
      </c>
      <c r="V30" s="5" t="s">
        <v>434</v>
      </c>
      <c r="W30" s="5" t="s">
        <v>435</v>
      </c>
      <c r="X30" s="5" t="s">
        <v>414</v>
      </c>
      <c r="Y30" s="5" t="s">
        <v>415</v>
      </c>
      <c r="Z30" s="5" t="s">
        <v>499</v>
      </c>
      <c r="AA30" s="5"/>
      <c r="AB30" s="5" t="s">
        <v>417</v>
      </c>
      <c r="AC30" s="5" t="s">
        <v>418</v>
      </c>
      <c r="AD30" s="18">
        <v>34.380000000000003</v>
      </c>
      <c r="AE30" s="19">
        <v>0.184</v>
      </c>
    </row>
    <row r="31" spans="1:31" ht="15" customHeight="1" x14ac:dyDescent="0.3">
      <c r="A31" s="5" t="s">
        <v>517</v>
      </c>
      <c r="B31" s="5" t="s">
        <v>518</v>
      </c>
      <c r="C31" s="5" t="s">
        <v>479</v>
      </c>
      <c r="D31" s="5" t="s">
        <v>440</v>
      </c>
      <c r="E31" s="5" t="s">
        <v>423</v>
      </c>
      <c r="F31" s="17">
        <v>100</v>
      </c>
      <c r="G31" s="5" t="s">
        <v>411</v>
      </c>
      <c r="H31" s="18">
        <v>0.45</v>
      </c>
      <c r="I31" s="18">
        <v>0.45</v>
      </c>
      <c r="J31" s="18">
        <v>0</v>
      </c>
      <c r="K31" s="18">
        <v>0</v>
      </c>
      <c r="L31" s="18">
        <v>0.02</v>
      </c>
      <c r="M31" s="18">
        <v>0</v>
      </c>
      <c r="N31" s="18">
        <v>0</v>
      </c>
      <c r="O31" s="18">
        <v>0</v>
      </c>
      <c r="P31" s="18">
        <v>0</v>
      </c>
      <c r="Q31" s="18">
        <v>0.43</v>
      </c>
      <c r="R31" s="18">
        <v>0.43</v>
      </c>
      <c r="S31" s="18">
        <v>0.18</v>
      </c>
      <c r="T31" s="18">
        <v>43</v>
      </c>
      <c r="U31" s="18">
        <v>25</v>
      </c>
      <c r="V31" s="5" t="s">
        <v>444</v>
      </c>
      <c r="W31" s="5" t="s">
        <v>424</v>
      </c>
      <c r="X31" s="5" t="s">
        <v>445</v>
      </c>
      <c r="Y31" s="5" t="s">
        <v>426</v>
      </c>
      <c r="Z31" s="5"/>
      <c r="AA31" s="5"/>
      <c r="AB31" s="5" t="s">
        <v>417</v>
      </c>
      <c r="AC31" s="5" t="s">
        <v>418</v>
      </c>
      <c r="AD31" s="18">
        <v>0.56000000000000005</v>
      </c>
      <c r="AE31" s="19">
        <v>0.182</v>
      </c>
    </row>
    <row r="32" spans="1:31" ht="15" customHeight="1" x14ac:dyDescent="0.3">
      <c r="A32" s="5" t="s">
        <v>519</v>
      </c>
      <c r="B32" s="5" t="s">
        <v>520</v>
      </c>
      <c r="C32" s="5" t="s">
        <v>485</v>
      </c>
      <c r="D32" s="5" t="s">
        <v>521</v>
      </c>
      <c r="E32" s="5" t="s">
        <v>475</v>
      </c>
      <c r="F32" s="17">
        <v>100</v>
      </c>
      <c r="G32" s="5" t="s">
        <v>411</v>
      </c>
      <c r="H32" s="18">
        <v>12.75</v>
      </c>
      <c r="I32" s="18">
        <v>12.48</v>
      </c>
      <c r="J32" s="18">
        <v>0.27</v>
      </c>
      <c r="K32" s="18">
        <v>0.37</v>
      </c>
      <c r="L32" s="18">
        <v>0.53</v>
      </c>
      <c r="M32" s="18">
        <v>0</v>
      </c>
      <c r="N32" s="18">
        <v>0</v>
      </c>
      <c r="O32" s="18">
        <v>0.17</v>
      </c>
      <c r="P32" s="18">
        <v>0.17</v>
      </c>
      <c r="Q32" s="18">
        <v>11.41</v>
      </c>
      <c r="R32" s="18">
        <v>11.24</v>
      </c>
      <c r="S32" s="18">
        <v>5.0999999999999996</v>
      </c>
      <c r="T32" s="18">
        <v>1124</v>
      </c>
      <c r="U32" s="18">
        <v>614</v>
      </c>
      <c r="V32" s="5" t="s">
        <v>444</v>
      </c>
      <c r="W32" s="5" t="s">
        <v>413</v>
      </c>
      <c r="X32" s="5" t="s">
        <v>456</v>
      </c>
      <c r="Y32" s="5" t="s">
        <v>415</v>
      </c>
      <c r="Z32" s="5" t="s">
        <v>522</v>
      </c>
      <c r="AA32" s="5"/>
      <c r="AB32" s="5" t="s">
        <v>417</v>
      </c>
      <c r="AC32" s="5" t="s">
        <v>448</v>
      </c>
      <c r="AD32" s="18"/>
      <c r="AE32" s="5"/>
    </row>
    <row r="33" spans="1:31" ht="15" customHeight="1" x14ac:dyDescent="0.3">
      <c r="A33" s="5" t="s">
        <v>523</v>
      </c>
      <c r="B33" s="5" t="s">
        <v>524</v>
      </c>
      <c r="C33" s="5" t="s">
        <v>421</v>
      </c>
      <c r="D33" s="5" t="s">
        <v>422</v>
      </c>
      <c r="E33" s="5" t="s">
        <v>455</v>
      </c>
      <c r="F33" s="17">
        <v>500</v>
      </c>
      <c r="G33" s="5" t="s">
        <v>411</v>
      </c>
      <c r="H33" s="18">
        <v>3.2</v>
      </c>
      <c r="I33" s="18">
        <v>2.86</v>
      </c>
      <c r="J33" s="18">
        <v>0.34</v>
      </c>
      <c r="K33" s="18">
        <v>7.0000000000000007E-2</v>
      </c>
      <c r="L33" s="18">
        <v>0.12</v>
      </c>
      <c r="M33" s="18">
        <v>0</v>
      </c>
      <c r="N33" s="18">
        <v>0</v>
      </c>
      <c r="O33" s="18">
        <v>0</v>
      </c>
      <c r="P33" s="18">
        <v>0</v>
      </c>
      <c r="Q33" s="18">
        <v>2.67</v>
      </c>
      <c r="R33" s="18">
        <v>2.67</v>
      </c>
      <c r="S33" s="18">
        <v>1.28</v>
      </c>
      <c r="T33" s="18">
        <v>1335</v>
      </c>
      <c r="U33" s="18">
        <v>695</v>
      </c>
      <c r="V33" s="5" t="s">
        <v>412</v>
      </c>
      <c r="W33" s="5" t="s">
        <v>424</v>
      </c>
      <c r="X33" s="5" t="s">
        <v>425</v>
      </c>
      <c r="Y33" s="5" t="s">
        <v>415</v>
      </c>
      <c r="Z33" s="5" t="s">
        <v>446</v>
      </c>
      <c r="AA33" s="5"/>
      <c r="AB33" s="5" t="s">
        <v>417</v>
      </c>
      <c r="AC33" s="5" t="s">
        <v>427</v>
      </c>
      <c r="AD33" s="18">
        <v>3.58</v>
      </c>
      <c r="AE33" s="19">
        <v>9.1999999999999998E-2</v>
      </c>
    </row>
    <row r="34" spans="1:31" ht="15" customHeight="1" x14ac:dyDescent="0.3">
      <c r="A34" s="5" t="s">
        <v>525</v>
      </c>
      <c r="B34" s="5" t="s">
        <v>526</v>
      </c>
      <c r="C34" s="5" t="s">
        <v>408</v>
      </c>
      <c r="D34" s="5" t="s">
        <v>431</v>
      </c>
      <c r="E34" s="5" t="s">
        <v>423</v>
      </c>
      <c r="F34" s="17">
        <v>200</v>
      </c>
      <c r="G34" s="5" t="s">
        <v>433</v>
      </c>
      <c r="H34" s="18">
        <v>42</v>
      </c>
      <c r="I34" s="18">
        <v>40.31</v>
      </c>
      <c r="J34" s="18">
        <v>1.69</v>
      </c>
      <c r="K34" s="18">
        <v>1.1299999999999999</v>
      </c>
      <c r="L34" s="18">
        <v>0.27</v>
      </c>
      <c r="M34" s="18">
        <v>0</v>
      </c>
      <c r="N34" s="18">
        <v>0</v>
      </c>
      <c r="O34" s="18">
        <v>0</v>
      </c>
      <c r="P34" s="18">
        <v>0</v>
      </c>
      <c r="Q34" s="18">
        <v>38.909999999999997</v>
      </c>
      <c r="R34" s="18">
        <v>38.909999999999997</v>
      </c>
      <c r="S34" s="18">
        <v>16.8</v>
      </c>
      <c r="T34" s="18">
        <v>7782</v>
      </c>
      <c r="U34" s="18">
        <v>4422</v>
      </c>
      <c r="V34" s="5" t="s">
        <v>412</v>
      </c>
      <c r="W34" s="5" t="s">
        <v>413</v>
      </c>
      <c r="X34" s="5" t="s">
        <v>414</v>
      </c>
      <c r="Y34" s="5" t="s">
        <v>426</v>
      </c>
      <c r="Z34" s="5"/>
      <c r="AA34" s="5"/>
      <c r="AB34" s="5" t="s">
        <v>417</v>
      </c>
      <c r="AC34" s="5" t="s">
        <v>448</v>
      </c>
      <c r="AD34" s="18"/>
      <c r="AE34" s="5"/>
    </row>
    <row r="35" spans="1:31" ht="15" customHeight="1" x14ac:dyDescent="0.3">
      <c r="A35" s="5" t="s">
        <v>527</v>
      </c>
      <c r="B35" s="5" t="s">
        <v>528</v>
      </c>
      <c r="C35" s="5" t="s">
        <v>485</v>
      </c>
      <c r="D35" s="5" t="s">
        <v>440</v>
      </c>
      <c r="E35" s="5" t="s">
        <v>475</v>
      </c>
      <c r="F35" s="17">
        <v>500</v>
      </c>
      <c r="G35" s="5" t="s">
        <v>411</v>
      </c>
      <c r="H35" s="18">
        <v>0.45</v>
      </c>
      <c r="I35" s="18">
        <v>0.4</v>
      </c>
      <c r="J35" s="18">
        <v>0.05</v>
      </c>
      <c r="K35" s="18">
        <v>0.01</v>
      </c>
      <c r="L35" s="18">
        <v>0.03</v>
      </c>
      <c r="M35" s="18">
        <v>0.01</v>
      </c>
      <c r="N35" s="18">
        <v>0</v>
      </c>
      <c r="O35" s="18">
        <v>0</v>
      </c>
      <c r="P35" s="18">
        <v>0</v>
      </c>
      <c r="Q35" s="18">
        <v>0.36</v>
      </c>
      <c r="R35" s="18">
        <v>0.35</v>
      </c>
      <c r="S35" s="18">
        <v>0.18</v>
      </c>
      <c r="T35" s="18">
        <v>175</v>
      </c>
      <c r="U35" s="18">
        <v>85</v>
      </c>
      <c r="V35" s="5" t="s">
        <v>444</v>
      </c>
      <c r="W35" s="5" t="s">
        <v>413</v>
      </c>
      <c r="X35" s="5" t="s">
        <v>456</v>
      </c>
      <c r="Y35" s="5" t="s">
        <v>426</v>
      </c>
      <c r="Z35" s="5"/>
      <c r="AA35" s="5" t="s">
        <v>466</v>
      </c>
      <c r="AB35" s="5" t="s">
        <v>417</v>
      </c>
      <c r="AC35" s="5" t="s">
        <v>418</v>
      </c>
      <c r="AD35" s="18"/>
      <c r="AE35" s="5"/>
    </row>
    <row r="36" spans="1:31" ht="15" customHeight="1" x14ac:dyDescent="0.3">
      <c r="A36" s="5" t="s">
        <v>529</v>
      </c>
      <c r="B36" s="5" t="s">
        <v>530</v>
      </c>
      <c r="C36" s="5" t="s">
        <v>531</v>
      </c>
      <c r="D36" s="5" t="s">
        <v>431</v>
      </c>
      <c r="E36" s="5" t="s">
        <v>475</v>
      </c>
      <c r="F36" s="17">
        <v>500</v>
      </c>
      <c r="G36" s="5" t="s">
        <v>433</v>
      </c>
      <c r="H36" s="18">
        <v>42</v>
      </c>
      <c r="I36" s="18">
        <v>41.85</v>
      </c>
      <c r="J36" s="18">
        <v>0.15</v>
      </c>
      <c r="K36" s="18">
        <v>0.42</v>
      </c>
      <c r="L36" s="18">
        <v>2.2799999999999998</v>
      </c>
      <c r="M36" s="18">
        <v>0.28000000000000003</v>
      </c>
      <c r="N36" s="18">
        <v>0</v>
      </c>
      <c r="O36" s="18">
        <v>0</v>
      </c>
      <c r="P36" s="18">
        <v>0</v>
      </c>
      <c r="Q36" s="18">
        <v>39.15</v>
      </c>
      <c r="R36" s="18">
        <v>38.869999999999997</v>
      </c>
      <c r="S36" s="18">
        <v>16.8</v>
      </c>
      <c r="T36" s="18">
        <v>19435</v>
      </c>
      <c r="U36" s="18">
        <v>11035</v>
      </c>
      <c r="V36" s="5" t="s">
        <v>434</v>
      </c>
      <c r="W36" s="5" t="s">
        <v>435</v>
      </c>
      <c r="X36" s="5" t="s">
        <v>425</v>
      </c>
      <c r="Y36" s="5" t="s">
        <v>426</v>
      </c>
      <c r="Z36" s="5"/>
      <c r="AA36" s="5" t="s">
        <v>493</v>
      </c>
      <c r="AB36" s="5" t="s">
        <v>417</v>
      </c>
      <c r="AC36" s="5" t="s">
        <v>482</v>
      </c>
      <c r="AD36" s="18">
        <v>46.66</v>
      </c>
      <c r="AE36" s="19">
        <v>0.17399999999999999</v>
      </c>
    </row>
    <row r="37" spans="1:31" ht="15" customHeight="1" x14ac:dyDescent="0.3">
      <c r="A37" s="5" t="s">
        <v>532</v>
      </c>
      <c r="B37" s="5" t="s">
        <v>533</v>
      </c>
      <c r="C37" s="5" t="s">
        <v>474</v>
      </c>
      <c r="D37" s="5" t="s">
        <v>451</v>
      </c>
      <c r="E37" s="5" t="s">
        <v>475</v>
      </c>
      <c r="F37" s="17">
        <v>100</v>
      </c>
      <c r="G37" s="5" t="s">
        <v>411</v>
      </c>
      <c r="H37" s="18">
        <v>15.2</v>
      </c>
      <c r="I37" s="18">
        <v>15.11</v>
      </c>
      <c r="J37" s="18">
        <v>0.09</v>
      </c>
      <c r="K37" s="18">
        <v>0.17</v>
      </c>
      <c r="L37" s="18">
        <v>0.26</v>
      </c>
      <c r="M37" s="18">
        <v>0</v>
      </c>
      <c r="N37" s="18">
        <v>0.35</v>
      </c>
      <c r="O37" s="18">
        <v>0.38</v>
      </c>
      <c r="P37" s="18">
        <v>0</v>
      </c>
      <c r="Q37" s="18">
        <v>14.3</v>
      </c>
      <c r="R37" s="18">
        <v>13.95</v>
      </c>
      <c r="S37" s="18">
        <v>6.08</v>
      </c>
      <c r="T37" s="18">
        <v>1395</v>
      </c>
      <c r="U37" s="18">
        <v>787</v>
      </c>
      <c r="V37" s="5" t="s">
        <v>434</v>
      </c>
      <c r="W37" s="5" t="s">
        <v>435</v>
      </c>
      <c r="X37" s="5" t="s">
        <v>456</v>
      </c>
      <c r="Y37" s="5" t="s">
        <v>426</v>
      </c>
      <c r="Z37" s="5"/>
      <c r="AA37" s="5"/>
      <c r="AB37" s="5" t="s">
        <v>417</v>
      </c>
      <c r="AC37" s="5" t="s">
        <v>482</v>
      </c>
      <c r="AD37" s="18">
        <v>19.5</v>
      </c>
      <c r="AE37" s="19">
        <v>0.21299999999999999</v>
      </c>
    </row>
    <row r="38" spans="1:31" ht="15" customHeight="1" x14ac:dyDescent="0.3">
      <c r="A38" s="5" t="s">
        <v>534</v>
      </c>
      <c r="B38" s="5" t="s">
        <v>535</v>
      </c>
      <c r="C38" s="5" t="s">
        <v>531</v>
      </c>
      <c r="D38" s="5" t="s">
        <v>521</v>
      </c>
      <c r="E38" s="5" t="s">
        <v>432</v>
      </c>
      <c r="F38" s="17">
        <v>5000</v>
      </c>
      <c r="G38" s="5" t="s">
        <v>411</v>
      </c>
      <c r="H38" s="18">
        <v>12.75</v>
      </c>
      <c r="I38" s="18">
        <v>12.7</v>
      </c>
      <c r="J38" s="18">
        <v>0.05</v>
      </c>
      <c r="K38" s="18">
        <v>0.09</v>
      </c>
      <c r="L38" s="18">
        <v>0.86</v>
      </c>
      <c r="M38" s="18">
        <v>0.12</v>
      </c>
      <c r="N38" s="18">
        <v>0</v>
      </c>
      <c r="O38" s="18">
        <v>0</v>
      </c>
      <c r="P38" s="18">
        <v>0.12</v>
      </c>
      <c r="Q38" s="18">
        <v>11.75</v>
      </c>
      <c r="R38" s="18">
        <v>11.51</v>
      </c>
      <c r="S38" s="18">
        <v>5.0999999999999996</v>
      </c>
      <c r="T38" s="18">
        <v>57550</v>
      </c>
      <c r="U38" s="18">
        <v>32050</v>
      </c>
      <c r="V38" s="5" t="s">
        <v>434</v>
      </c>
      <c r="W38" s="5" t="s">
        <v>435</v>
      </c>
      <c r="X38" s="5" t="s">
        <v>425</v>
      </c>
      <c r="Y38" s="5" t="s">
        <v>489</v>
      </c>
      <c r="Z38" s="5" t="s">
        <v>502</v>
      </c>
      <c r="AA38" s="5" t="s">
        <v>510</v>
      </c>
      <c r="AB38" s="5" t="s">
        <v>417</v>
      </c>
      <c r="AC38" s="5" t="s">
        <v>482</v>
      </c>
      <c r="AD38" s="18">
        <v>14.09</v>
      </c>
      <c r="AE38" s="19">
        <v>0.17699999999999999</v>
      </c>
    </row>
    <row r="39" spans="1:31" ht="15" customHeight="1" x14ac:dyDescent="0.3">
      <c r="A39" s="5" t="s">
        <v>536</v>
      </c>
      <c r="B39" s="5" t="s">
        <v>442</v>
      </c>
      <c r="C39" s="5" t="s">
        <v>479</v>
      </c>
      <c r="D39" s="5" t="s">
        <v>521</v>
      </c>
      <c r="E39" s="5" t="s">
        <v>455</v>
      </c>
      <c r="F39" s="17">
        <v>50</v>
      </c>
      <c r="G39" s="5" t="s">
        <v>411</v>
      </c>
      <c r="H39" s="18">
        <v>12.75</v>
      </c>
      <c r="I39" s="18">
        <v>11.33</v>
      </c>
      <c r="J39" s="18">
        <v>1.42</v>
      </c>
      <c r="K39" s="18">
        <v>0.22</v>
      </c>
      <c r="L39" s="18">
        <v>0.93</v>
      </c>
      <c r="M39" s="18">
        <v>0</v>
      </c>
      <c r="N39" s="18">
        <v>0.15</v>
      </c>
      <c r="O39" s="18">
        <v>0</v>
      </c>
      <c r="P39" s="18">
        <v>0.06</v>
      </c>
      <c r="Q39" s="18">
        <v>10.18</v>
      </c>
      <c r="R39" s="18">
        <v>9.9700000000000006</v>
      </c>
      <c r="S39" s="18">
        <v>5.0999999999999996</v>
      </c>
      <c r="T39" s="18">
        <v>498.5</v>
      </c>
      <c r="U39" s="18">
        <v>243.5</v>
      </c>
      <c r="V39" s="5" t="s">
        <v>444</v>
      </c>
      <c r="W39" s="5" t="s">
        <v>424</v>
      </c>
      <c r="X39" s="5" t="s">
        <v>445</v>
      </c>
      <c r="Y39" s="5" t="s">
        <v>489</v>
      </c>
      <c r="Z39" s="5" t="s">
        <v>522</v>
      </c>
      <c r="AA39" s="5" t="s">
        <v>493</v>
      </c>
      <c r="AB39" s="5" t="s">
        <v>417</v>
      </c>
      <c r="AC39" s="5" t="s">
        <v>482</v>
      </c>
      <c r="AD39" s="18">
        <v>14.43</v>
      </c>
      <c r="AE39" s="19">
        <v>0.13700000000000001</v>
      </c>
    </row>
    <row r="40" spans="1:31" ht="15" customHeight="1" x14ac:dyDescent="0.3">
      <c r="A40" s="5" t="s">
        <v>537</v>
      </c>
      <c r="B40" s="5" t="s">
        <v>538</v>
      </c>
      <c r="C40" s="5" t="s">
        <v>485</v>
      </c>
      <c r="D40" s="5" t="s">
        <v>507</v>
      </c>
      <c r="E40" s="5" t="s">
        <v>455</v>
      </c>
      <c r="F40" s="17">
        <v>500</v>
      </c>
      <c r="G40" s="5" t="s">
        <v>433</v>
      </c>
      <c r="H40" s="18">
        <v>8.9</v>
      </c>
      <c r="I40" s="18">
        <v>8.19</v>
      </c>
      <c r="J40" s="18">
        <v>0.71</v>
      </c>
      <c r="K40" s="18">
        <v>0.02</v>
      </c>
      <c r="L40" s="18">
        <v>0.46</v>
      </c>
      <c r="M40" s="18">
        <v>0</v>
      </c>
      <c r="N40" s="18">
        <v>0</v>
      </c>
      <c r="O40" s="18">
        <v>0</v>
      </c>
      <c r="P40" s="18">
        <v>0</v>
      </c>
      <c r="Q40" s="18">
        <v>7.71</v>
      </c>
      <c r="R40" s="18">
        <v>7.71</v>
      </c>
      <c r="S40" s="18">
        <v>3.56</v>
      </c>
      <c r="T40" s="18">
        <v>3855</v>
      </c>
      <c r="U40" s="18">
        <v>2075</v>
      </c>
      <c r="V40" s="5" t="s">
        <v>444</v>
      </c>
      <c r="W40" s="5" t="s">
        <v>413</v>
      </c>
      <c r="X40" s="5" t="s">
        <v>456</v>
      </c>
      <c r="Y40" s="5" t="s">
        <v>489</v>
      </c>
      <c r="Z40" s="5" t="s">
        <v>499</v>
      </c>
      <c r="AA40" s="5"/>
      <c r="AB40" s="5" t="s">
        <v>417</v>
      </c>
      <c r="AC40" s="5" t="s">
        <v>448</v>
      </c>
      <c r="AD40" s="18"/>
      <c r="AE40" s="5"/>
    </row>
    <row r="41" spans="1:31" ht="15" customHeight="1" x14ac:dyDescent="0.3">
      <c r="A41" s="5" t="s">
        <v>539</v>
      </c>
      <c r="B41" s="5" t="s">
        <v>540</v>
      </c>
      <c r="C41" s="5" t="s">
        <v>454</v>
      </c>
      <c r="D41" s="5" t="s">
        <v>422</v>
      </c>
      <c r="E41" s="5" t="s">
        <v>423</v>
      </c>
      <c r="F41" s="17">
        <v>2500</v>
      </c>
      <c r="G41" s="5" t="s">
        <v>411</v>
      </c>
      <c r="H41" s="18">
        <v>3.2</v>
      </c>
      <c r="I41" s="18">
        <v>3</v>
      </c>
      <c r="J41" s="18">
        <v>0.2</v>
      </c>
      <c r="K41" s="18">
        <v>0.06</v>
      </c>
      <c r="L41" s="18">
        <v>0.16</v>
      </c>
      <c r="M41" s="18">
        <v>0.1</v>
      </c>
      <c r="N41" s="18">
        <v>0</v>
      </c>
      <c r="O41" s="18">
        <v>0.06</v>
      </c>
      <c r="P41" s="18">
        <v>0</v>
      </c>
      <c r="Q41" s="18">
        <v>2.72</v>
      </c>
      <c r="R41" s="18">
        <v>2.62</v>
      </c>
      <c r="S41" s="18">
        <v>1.28</v>
      </c>
      <c r="T41" s="18">
        <v>6550</v>
      </c>
      <c r="U41" s="18">
        <v>3350</v>
      </c>
      <c r="V41" s="5" t="s">
        <v>444</v>
      </c>
      <c r="W41" s="5" t="s">
        <v>413</v>
      </c>
      <c r="X41" s="5" t="s">
        <v>456</v>
      </c>
      <c r="Y41" s="5" t="s">
        <v>415</v>
      </c>
      <c r="Z41" s="5" t="s">
        <v>496</v>
      </c>
      <c r="AA41" s="5" t="s">
        <v>437</v>
      </c>
      <c r="AB41" s="5" t="s">
        <v>417</v>
      </c>
      <c r="AC41" s="5" t="s">
        <v>448</v>
      </c>
      <c r="AD41" s="18"/>
      <c r="AE41" s="5"/>
    </row>
    <row r="42" spans="1:31" ht="15" customHeight="1" x14ac:dyDescent="0.3">
      <c r="A42" s="5" t="s">
        <v>541</v>
      </c>
      <c r="B42" s="5" t="s">
        <v>542</v>
      </c>
      <c r="C42" s="5" t="s">
        <v>443</v>
      </c>
      <c r="D42" s="5" t="s">
        <v>492</v>
      </c>
      <c r="E42" s="5" t="s">
        <v>455</v>
      </c>
      <c r="F42" s="17">
        <v>2500</v>
      </c>
      <c r="G42" s="5" t="s">
        <v>411</v>
      </c>
      <c r="H42" s="18">
        <v>28</v>
      </c>
      <c r="I42" s="18">
        <v>26.73</v>
      </c>
      <c r="J42" s="18">
        <v>1.27</v>
      </c>
      <c r="K42" s="18">
        <v>0.02</v>
      </c>
      <c r="L42" s="18">
        <v>1.91</v>
      </c>
      <c r="M42" s="18">
        <v>0</v>
      </c>
      <c r="N42" s="18">
        <v>0</v>
      </c>
      <c r="O42" s="18">
        <v>0.28999999999999998</v>
      </c>
      <c r="P42" s="18">
        <v>0.39</v>
      </c>
      <c r="Q42" s="18">
        <v>24.51</v>
      </c>
      <c r="R42" s="18">
        <v>24.12</v>
      </c>
      <c r="S42" s="18">
        <v>11.2</v>
      </c>
      <c r="T42" s="18">
        <v>60300</v>
      </c>
      <c r="U42" s="18">
        <v>32300</v>
      </c>
      <c r="V42" s="5" t="s">
        <v>444</v>
      </c>
      <c r="W42" s="5" t="s">
        <v>413</v>
      </c>
      <c r="X42" s="5" t="s">
        <v>445</v>
      </c>
      <c r="Y42" s="5" t="s">
        <v>489</v>
      </c>
      <c r="Z42" s="5" t="s">
        <v>416</v>
      </c>
      <c r="AA42" s="5"/>
      <c r="AB42" s="5" t="s">
        <v>417</v>
      </c>
      <c r="AC42" s="5" t="s">
        <v>418</v>
      </c>
      <c r="AD42" s="18"/>
      <c r="AE42" s="5"/>
    </row>
    <row r="43" spans="1:31" ht="15" customHeight="1" x14ac:dyDescent="0.3">
      <c r="A43" s="5" t="s">
        <v>543</v>
      </c>
      <c r="B43" s="5" t="s">
        <v>544</v>
      </c>
      <c r="C43" s="5" t="s">
        <v>531</v>
      </c>
      <c r="D43" s="5" t="s">
        <v>422</v>
      </c>
      <c r="E43" s="5" t="s">
        <v>475</v>
      </c>
      <c r="F43" s="17">
        <v>1000</v>
      </c>
      <c r="G43" s="5" t="s">
        <v>411</v>
      </c>
      <c r="H43" s="18">
        <v>3.2</v>
      </c>
      <c r="I43" s="18">
        <v>2.91</v>
      </c>
      <c r="J43" s="18">
        <v>0.28999999999999998</v>
      </c>
      <c r="K43" s="18">
        <v>7.0000000000000007E-2</v>
      </c>
      <c r="L43" s="18">
        <v>0.17</v>
      </c>
      <c r="M43" s="18">
        <v>0.1</v>
      </c>
      <c r="N43" s="18">
        <v>0</v>
      </c>
      <c r="O43" s="18">
        <v>0</v>
      </c>
      <c r="P43" s="18">
        <v>0</v>
      </c>
      <c r="Q43" s="18">
        <v>2.67</v>
      </c>
      <c r="R43" s="18">
        <v>2.57</v>
      </c>
      <c r="S43" s="18">
        <v>1.28</v>
      </c>
      <c r="T43" s="18">
        <v>2570</v>
      </c>
      <c r="U43" s="18">
        <v>1290</v>
      </c>
      <c r="V43" s="5" t="s">
        <v>434</v>
      </c>
      <c r="W43" s="5" t="s">
        <v>435</v>
      </c>
      <c r="X43" s="5" t="s">
        <v>425</v>
      </c>
      <c r="Y43" s="5" t="s">
        <v>489</v>
      </c>
      <c r="Z43" s="5" t="s">
        <v>461</v>
      </c>
      <c r="AA43" s="5"/>
      <c r="AB43" s="5" t="s">
        <v>417</v>
      </c>
      <c r="AC43" s="5" t="s">
        <v>448</v>
      </c>
      <c r="AD43" s="18">
        <v>3.44</v>
      </c>
      <c r="AE43" s="19">
        <v>0.214</v>
      </c>
    </row>
    <row r="44" spans="1:31" ht="15" customHeight="1" x14ac:dyDescent="0.3">
      <c r="A44" s="5" t="s">
        <v>545</v>
      </c>
      <c r="B44" s="5" t="s">
        <v>546</v>
      </c>
      <c r="C44" s="5" t="s">
        <v>421</v>
      </c>
      <c r="D44" s="5" t="s">
        <v>507</v>
      </c>
      <c r="E44" s="5" t="s">
        <v>475</v>
      </c>
      <c r="F44" s="17">
        <v>2500</v>
      </c>
      <c r="G44" s="5" t="s">
        <v>433</v>
      </c>
      <c r="H44" s="18">
        <v>8.9</v>
      </c>
      <c r="I44" s="18">
        <v>8.31</v>
      </c>
      <c r="J44" s="18">
        <v>0.59</v>
      </c>
      <c r="K44" s="18">
        <v>0.09</v>
      </c>
      <c r="L44" s="18">
        <v>0.32</v>
      </c>
      <c r="M44" s="18">
        <v>0</v>
      </c>
      <c r="N44" s="18">
        <v>0</v>
      </c>
      <c r="O44" s="18">
        <v>0.08</v>
      </c>
      <c r="P44" s="18">
        <v>0</v>
      </c>
      <c r="Q44" s="18">
        <v>7.82</v>
      </c>
      <c r="R44" s="18">
        <v>7.82</v>
      </c>
      <c r="S44" s="18">
        <v>3.56</v>
      </c>
      <c r="T44" s="18">
        <v>19550</v>
      </c>
      <c r="U44" s="18">
        <v>10650</v>
      </c>
      <c r="V44" s="5" t="s">
        <v>412</v>
      </c>
      <c r="W44" s="5" t="s">
        <v>424</v>
      </c>
      <c r="X44" s="5" t="s">
        <v>425</v>
      </c>
      <c r="Y44" s="5" t="s">
        <v>415</v>
      </c>
      <c r="Z44" s="5" t="s">
        <v>547</v>
      </c>
      <c r="AA44" s="5"/>
      <c r="AB44" s="5" t="s">
        <v>417</v>
      </c>
      <c r="AC44" s="5" t="s">
        <v>448</v>
      </c>
      <c r="AD44" s="18">
        <v>11.29</v>
      </c>
      <c r="AE44" s="19">
        <v>0.14799999999999999</v>
      </c>
    </row>
    <row r="45" spans="1:31" ht="15" customHeight="1" x14ac:dyDescent="0.3">
      <c r="A45" s="5" t="s">
        <v>548</v>
      </c>
      <c r="B45" s="5" t="s">
        <v>549</v>
      </c>
      <c r="C45" s="5" t="s">
        <v>430</v>
      </c>
      <c r="D45" s="5" t="s">
        <v>550</v>
      </c>
      <c r="E45" s="5" t="s">
        <v>455</v>
      </c>
      <c r="F45" s="17">
        <v>200</v>
      </c>
      <c r="G45" s="5" t="s">
        <v>411</v>
      </c>
      <c r="H45" s="18">
        <v>35</v>
      </c>
      <c r="I45" s="18">
        <v>30.88</v>
      </c>
      <c r="J45" s="18">
        <v>4.12</v>
      </c>
      <c r="K45" s="18">
        <v>0.87</v>
      </c>
      <c r="L45" s="18">
        <v>0.83</v>
      </c>
      <c r="M45" s="18">
        <v>0</v>
      </c>
      <c r="N45" s="18">
        <v>0</v>
      </c>
      <c r="O45" s="18">
        <v>0.13</v>
      </c>
      <c r="P45" s="18">
        <v>0</v>
      </c>
      <c r="Q45" s="18">
        <v>29.05</v>
      </c>
      <c r="R45" s="18">
        <v>29.05</v>
      </c>
      <c r="S45" s="18">
        <v>14</v>
      </c>
      <c r="T45" s="18">
        <v>5810</v>
      </c>
      <c r="U45" s="18">
        <v>3010</v>
      </c>
      <c r="V45" s="5" t="s">
        <v>434</v>
      </c>
      <c r="W45" s="5" t="s">
        <v>435</v>
      </c>
      <c r="X45" s="5" t="s">
        <v>414</v>
      </c>
      <c r="Y45" s="5" t="s">
        <v>426</v>
      </c>
      <c r="Z45" s="5"/>
      <c r="AA45" s="5"/>
      <c r="AB45" s="5" t="s">
        <v>417</v>
      </c>
      <c r="AC45" s="5" t="s">
        <v>418</v>
      </c>
      <c r="AD45" s="18">
        <v>42.19</v>
      </c>
      <c r="AE45" s="19">
        <v>0.215</v>
      </c>
    </row>
    <row r="46" spans="1:31" ht="15" customHeight="1" x14ac:dyDescent="0.3">
      <c r="A46" s="5" t="s">
        <v>551</v>
      </c>
      <c r="B46" s="5" t="s">
        <v>552</v>
      </c>
      <c r="C46" s="5" t="s">
        <v>443</v>
      </c>
      <c r="D46" s="5" t="s">
        <v>521</v>
      </c>
      <c r="E46" s="5" t="s">
        <v>432</v>
      </c>
      <c r="F46" s="17">
        <v>1000</v>
      </c>
      <c r="G46" s="5" t="s">
        <v>411</v>
      </c>
      <c r="H46" s="18">
        <v>12.75</v>
      </c>
      <c r="I46" s="18">
        <v>12.31</v>
      </c>
      <c r="J46" s="18">
        <v>0.44</v>
      </c>
      <c r="K46" s="18">
        <v>0.18</v>
      </c>
      <c r="L46" s="18">
        <v>0.35</v>
      </c>
      <c r="M46" s="18">
        <v>0.13</v>
      </c>
      <c r="N46" s="18">
        <v>0.09</v>
      </c>
      <c r="O46" s="18">
        <v>0</v>
      </c>
      <c r="P46" s="18">
        <v>0</v>
      </c>
      <c r="Q46" s="18">
        <v>11.78</v>
      </c>
      <c r="R46" s="18">
        <v>11.56</v>
      </c>
      <c r="S46" s="18">
        <v>5.0999999999999996</v>
      </c>
      <c r="T46" s="18">
        <v>11560</v>
      </c>
      <c r="U46" s="18">
        <v>6460</v>
      </c>
      <c r="V46" s="5" t="s">
        <v>444</v>
      </c>
      <c r="W46" s="5" t="s">
        <v>413</v>
      </c>
      <c r="X46" s="5" t="s">
        <v>445</v>
      </c>
      <c r="Y46" s="5" t="s">
        <v>415</v>
      </c>
      <c r="Z46" s="5" t="s">
        <v>469</v>
      </c>
      <c r="AA46" s="5"/>
      <c r="AB46" s="5" t="s">
        <v>417</v>
      </c>
      <c r="AC46" s="5" t="s">
        <v>418</v>
      </c>
      <c r="AD46" s="18"/>
      <c r="AE46" s="5"/>
    </row>
    <row r="47" spans="1:31" ht="15" customHeight="1" x14ac:dyDescent="0.3">
      <c r="A47" s="5" t="s">
        <v>553</v>
      </c>
      <c r="B47" s="5" t="s">
        <v>554</v>
      </c>
      <c r="C47" s="5" t="s">
        <v>430</v>
      </c>
      <c r="D47" s="5" t="s">
        <v>431</v>
      </c>
      <c r="E47" s="5" t="s">
        <v>432</v>
      </c>
      <c r="F47" s="17">
        <v>100</v>
      </c>
      <c r="G47" s="5" t="s">
        <v>433</v>
      </c>
      <c r="H47" s="18">
        <v>42</v>
      </c>
      <c r="I47" s="18">
        <v>41.4</v>
      </c>
      <c r="J47" s="18">
        <v>0.6</v>
      </c>
      <c r="K47" s="18">
        <v>0.96</v>
      </c>
      <c r="L47" s="18">
        <v>2.04</v>
      </c>
      <c r="M47" s="18">
        <v>0.38</v>
      </c>
      <c r="N47" s="18">
        <v>0</v>
      </c>
      <c r="O47" s="18">
        <v>0</v>
      </c>
      <c r="P47" s="18">
        <v>0</v>
      </c>
      <c r="Q47" s="18">
        <v>38.4</v>
      </c>
      <c r="R47" s="18">
        <v>38.020000000000003</v>
      </c>
      <c r="S47" s="18">
        <v>16.8</v>
      </c>
      <c r="T47" s="18">
        <v>3802</v>
      </c>
      <c r="U47" s="18">
        <v>2122</v>
      </c>
      <c r="V47" s="5" t="s">
        <v>434</v>
      </c>
      <c r="W47" s="5" t="s">
        <v>435</v>
      </c>
      <c r="X47" s="5" t="s">
        <v>414</v>
      </c>
      <c r="Y47" s="5" t="s">
        <v>415</v>
      </c>
      <c r="Z47" s="5" t="s">
        <v>502</v>
      </c>
      <c r="AA47" s="5" t="s">
        <v>447</v>
      </c>
      <c r="AB47" s="5" t="s">
        <v>417</v>
      </c>
      <c r="AC47" s="5" t="s">
        <v>482</v>
      </c>
      <c r="AD47" s="18">
        <v>46.65</v>
      </c>
      <c r="AE47" s="19">
        <v>8.2000000000000003E-2</v>
      </c>
    </row>
    <row r="48" spans="1:31" ht="15" customHeight="1" x14ac:dyDescent="0.3">
      <c r="A48" s="5" t="s">
        <v>555</v>
      </c>
      <c r="B48" s="5" t="s">
        <v>556</v>
      </c>
      <c r="C48" s="5" t="s">
        <v>408</v>
      </c>
      <c r="D48" s="5" t="s">
        <v>440</v>
      </c>
      <c r="E48" s="5" t="s">
        <v>423</v>
      </c>
      <c r="F48" s="17">
        <v>200</v>
      </c>
      <c r="G48" s="5" t="s">
        <v>411</v>
      </c>
      <c r="H48" s="18">
        <v>0.45</v>
      </c>
      <c r="I48" s="18">
        <v>0.41</v>
      </c>
      <c r="J48" s="18">
        <v>0.04</v>
      </c>
      <c r="K48" s="18">
        <v>0</v>
      </c>
      <c r="L48" s="18">
        <v>0.01</v>
      </c>
      <c r="M48" s="18">
        <v>0</v>
      </c>
      <c r="N48" s="18">
        <v>0</v>
      </c>
      <c r="O48" s="18">
        <v>0</v>
      </c>
      <c r="P48" s="18">
        <v>0</v>
      </c>
      <c r="Q48" s="18">
        <v>0.4</v>
      </c>
      <c r="R48" s="18">
        <v>0.4</v>
      </c>
      <c r="S48" s="18">
        <v>0.18</v>
      </c>
      <c r="T48" s="18">
        <v>80</v>
      </c>
      <c r="U48" s="18">
        <v>44</v>
      </c>
      <c r="V48" s="5" t="s">
        <v>412</v>
      </c>
      <c r="W48" s="5" t="s">
        <v>413</v>
      </c>
      <c r="X48" s="5" t="s">
        <v>414</v>
      </c>
      <c r="Y48" s="5" t="s">
        <v>489</v>
      </c>
      <c r="Z48" s="5" t="s">
        <v>496</v>
      </c>
      <c r="AA48" s="5"/>
      <c r="AB48" s="5" t="s">
        <v>417</v>
      </c>
      <c r="AC48" s="5" t="s">
        <v>427</v>
      </c>
      <c r="AD48" s="18"/>
      <c r="AE48" s="5"/>
    </row>
    <row r="49" spans="1:31" ht="15" customHeight="1" x14ac:dyDescent="0.3">
      <c r="A49" s="5" t="s">
        <v>557</v>
      </c>
      <c r="B49" s="5" t="s">
        <v>558</v>
      </c>
      <c r="C49" s="5" t="s">
        <v>443</v>
      </c>
      <c r="D49" s="5" t="s">
        <v>521</v>
      </c>
      <c r="E49" s="5" t="s">
        <v>423</v>
      </c>
      <c r="F49" s="17">
        <v>200</v>
      </c>
      <c r="G49" s="5" t="s">
        <v>411</v>
      </c>
      <c r="H49" s="18">
        <v>12.75</v>
      </c>
      <c r="I49" s="18">
        <v>11.54</v>
      </c>
      <c r="J49" s="18">
        <v>1.21</v>
      </c>
      <c r="K49" s="18">
        <v>0.24</v>
      </c>
      <c r="L49" s="18">
        <v>0.67</v>
      </c>
      <c r="M49" s="18">
        <v>0.22</v>
      </c>
      <c r="N49" s="18">
        <v>0</v>
      </c>
      <c r="O49" s="18">
        <v>0</v>
      </c>
      <c r="P49" s="18">
        <v>0.21</v>
      </c>
      <c r="Q49" s="18">
        <v>10.63</v>
      </c>
      <c r="R49" s="18">
        <v>10.199999999999999</v>
      </c>
      <c r="S49" s="18">
        <v>5.0999999999999996</v>
      </c>
      <c r="T49" s="18">
        <v>2040</v>
      </c>
      <c r="U49" s="18">
        <v>1020</v>
      </c>
      <c r="V49" s="5" t="s">
        <v>444</v>
      </c>
      <c r="W49" s="5" t="s">
        <v>413</v>
      </c>
      <c r="X49" s="5" t="s">
        <v>445</v>
      </c>
      <c r="Y49" s="5" t="s">
        <v>426</v>
      </c>
      <c r="Z49" s="5"/>
      <c r="AA49" s="5"/>
      <c r="AB49" s="5" t="s">
        <v>417</v>
      </c>
      <c r="AC49" s="5" t="s">
        <v>427</v>
      </c>
      <c r="AD49" s="18"/>
      <c r="AE49" s="5"/>
    </row>
    <row r="50" spans="1:31" ht="15" customHeight="1" x14ac:dyDescent="0.3">
      <c r="A50" s="5" t="s">
        <v>559</v>
      </c>
      <c r="B50" s="5" t="s">
        <v>560</v>
      </c>
      <c r="C50" s="5" t="s">
        <v>430</v>
      </c>
      <c r="D50" s="5" t="s">
        <v>431</v>
      </c>
      <c r="E50" s="5" t="s">
        <v>475</v>
      </c>
      <c r="F50" s="17">
        <v>50</v>
      </c>
      <c r="G50" s="5" t="s">
        <v>433</v>
      </c>
      <c r="H50" s="18">
        <v>42</v>
      </c>
      <c r="I50" s="18">
        <v>39.64</v>
      </c>
      <c r="J50" s="18">
        <v>2.36</v>
      </c>
      <c r="K50" s="18">
        <v>0.38</v>
      </c>
      <c r="L50" s="18">
        <v>1.35</v>
      </c>
      <c r="M50" s="18">
        <v>0</v>
      </c>
      <c r="N50" s="18">
        <v>0</v>
      </c>
      <c r="O50" s="18">
        <v>0</v>
      </c>
      <c r="P50" s="18">
        <v>0</v>
      </c>
      <c r="Q50" s="18">
        <v>37.909999999999997</v>
      </c>
      <c r="R50" s="18">
        <v>37.909999999999997</v>
      </c>
      <c r="S50" s="18">
        <v>16.8</v>
      </c>
      <c r="T50" s="18">
        <v>1895.5</v>
      </c>
      <c r="U50" s="18">
        <v>1055.5</v>
      </c>
      <c r="V50" s="5" t="s">
        <v>434</v>
      </c>
      <c r="W50" s="5" t="s">
        <v>435</v>
      </c>
      <c r="X50" s="5" t="s">
        <v>414</v>
      </c>
      <c r="Y50" s="5" t="s">
        <v>426</v>
      </c>
      <c r="Z50" s="5"/>
      <c r="AA50" s="5" t="s">
        <v>493</v>
      </c>
      <c r="AB50" s="5" t="s">
        <v>417</v>
      </c>
      <c r="AC50" s="5" t="s">
        <v>427</v>
      </c>
      <c r="AD50" s="18">
        <v>48.74</v>
      </c>
      <c r="AE50" s="19">
        <v>9.5000000000000001E-2</v>
      </c>
    </row>
    <row r="51" spans="1:31" ht="15" customHeight="1" x14ac:dyDescent="0.3">
      <c r="A51" s="5" t="s">
        <v>561</v>
      </c>
      <c r="B51" s="5" t="s">
        <v>562</v>
      </c>
      <c r="C51" s="5" t="s">
        <v>408</v>
      </c>
      <c r="D51" s="5" t="s">
        <v>440</v>
      </c>
      <c r="E51" s="5" t="s">
        <v>455</v>
      </c>
      <c r="F51" s="17">
        <v>1000</v>
      </c>
      <c r="G51" s="5" t="s">
        <v>411</v>
      </c>
      <c r="H51" s="18">
        <v>0.45</v>
      </c>
      <c r="I51" s="18">
        <v>0.4</v>
      </c>
      <c r="J51" s="18">
        <v>0.05</v>
      </c>
      <c r="K51" s="18">
        <v>0.01</v>
      </c>
      <c r="L51" s="18">
        <v>0.02</v>
      </c>
      <c r="M51" s="18">
        <v>0</v>
      </c>
      <c r="N51" s="18">
        <v>0</v>
      </c>
      <c r="O51" s="18">
        <v>0.01</v>
      </c>
      <c r="P51" s="18">
        <v>0</v>
      </c>
      <c r="Q51" s="18">
        <v>0.36</v>
      </c>
      <c r="R51" s="18">
        <v>0.36</v>
      </c>
      <c r="S51" s="18">
        <v>0.18</v>
      </c>
      <c r="T51" s="18">
        <v>360</v>
      </c>
      <c r="U51" s="18">
        <v>180</v>
      </c>
      <c r="V51" s="5" t="s">
        <v>412</v>
      </c>
      <c r="W51" s="5" t="s">
        <v>413</v>
      </c>
      <c r="X51" s="5" t="s">
        <v>414</v>
      </c>
      <c r="Y51" s="5" t="s">
        <v>489</v>
      </c>
      <c r="Z51" s="5" t="s">
        <v>502</v>
      </c>
      <c r="AA51" s="5"/>
      <c r="AB51" s="5" t="s">
        <v>417</v>
      </c>
      <c r="AC51" s="5" t="s">
        <v>448</v>
      </c>
      <c r="AD51" s="18"/>
      <c r="AE51" s="5"/>
    </row>
    <row r="52" spans="1:31" ht="15" customHeight="1" x14ac:dyDescent="0.3">
      <c r="A52" s="5" t="s">
        <v>563</v>
      </c>
      <c r="B52" s="5" t="s">
        <v>564</v>
      </c>
      <c r="C52" s="5" t="s">
        <v>443</v>
      </c>
      <c r="D52" s="5" t="s">
        <v>521</v>
      </c>
      <c r="E52" s="5" t="s">
        <v>475</v>
      </c>
      <c r="F52" s="17">
        <v>200</v>
      </c>
      <c r="G52" s="5" t="s">
        <v>411</v>
      </c>
      <c r="H52" s="18">
        <v>12.75</v>
      </c>
      <c r="I52" s="18">
        <v>12.13</v>
      </c>
      <c r="J52" s="18">
        <v>0.62</v>
      </c>
      <c r="K52" s="18">
        <v>0.12</v>
      </c>
      <c r="L52" s="18">
        <v>0.11</v>
      </c>
      <c r="M52" s="18">
        <v>0</v>
      </c>
      <c r="N52" s="18">
        <v>0</v>
      </c>
      <c r="O52" s="18">
        <v>0</v>
      </c>
      <c r="P52" s="18">
        <v>0</v>
      </c>
      <c r="Q52" s="18">
        <v>11.9</v>
      </c>
      <c r="R52" s="18">
        <v>11.9</v>
      </c>
      <c r="S52" s="18">
        <v>5.0999999999999996</v>
      </c>
      <c r="T52" s="18">
        <v>2380</v>
      </c>
      <c r="U52" s="18">
        <v>1360</v>
      </c>
      <c r="V52" s="5" t="s">
        <v>444</v>
      </c>
      <c r="W52" s="5" t="s">
        <v>413</v>
      </c>
      <c r="X52" s="5" t="s">
        <v>445</v>
      </c>
      <c r="Y52" s="5" t="s">
        <v>426</v>
      </c>
      <c r="Z52" s="5"/>
      <c r="AA52" s="5" t="s">
        <v>493</v>
      </c>
      <c r="AB52" s="5" t="s">
        <v>417</v>
      </c>
      <c r="AC52" s="5" t="s">
        <v>482</v>
      </c>
      <c r="AD52" s="18"/>
      <c r="AE52" s="5"/>
    </row>
    <row r="53" spans="1:31" ht="15" customHeight="1" x14ac:dyDescent="0.3">
      <c r="A53" s="5" t="s">
        <v>565</v>
      </c>
      <c r="B53" s="5" t="s">
        <v>566</v>
      </c>
      <c r="C53" s="5" t="s">
        <v>408</v>
      </c>
      <c r="D53" s="5" t="s">
        <v>507</v>
      </c>
      <c r="E53" s="5" t="s">
        <v>410</v>
      </c>
      <c r="F53" s="17">
        <v>200</v>
      </c>
      <c r="G53" s="5" t="s">
        <v>433</v>
      </c>
      <c r="H53" s="18">
        <v>8.9</v>
      </c>
      <c r="I53" s="18">
        <v>8.7799999999999994</v>
      </c>
      <c r="J53" s="18">
        <v>0.12</v>
      </c>
      <c r="K53" s="18">
        <v>0.21</v>
      </c>
      <c r="L53" s="18">
        <v>0.62</v>
      </c>
      <c r="M53" s="18">
        <v>0</v>
      </c>
      <c r="N53" s="18">
        <v>0.25</v>
      </c>
      <c r="O53" s="18">
        <v>0</v>
      </c>
      <c r="P53" s="18">
        <v>0</v>
      </c>
      <c r="Q53" s="18">
        <v>7.95</v>
      </c>
      <c r="R53" s="18">
        <v>7.7</v>
      </c>
      <c r="S53" s="18">
        <v>3.56</v>
      </c>
      <c r="T53" s="18">
        <v>1540</v>
      </c>
      <c r="U53" s="18">
        <v>828</v>
      </c>
      <c r="V53" s="5" t="s">
        <v>412</v>
      </c>
      <c r="W53" s="5" t="s">
        <v>413</v>
      </c>
      <c r="X53" s="5" t="s">
        <v>414</v>
      </c>
      <c r="Y53" s="5" t="s">
        <v>415</v>
      </c>
      <c r="Z53" s="5" t="s">
        <v>522</v>
      </c>
      <c r="AA53" s="5" t="s">
        <v>466</v>
      </c>
      <c r="AB53" s="5" t="s">
        <v>417</v>
      </c>
      <c r="AC53" s="5" t="s">
        <v>482</v>
      </c>
      <c r="AD53" s="18"/>
      <c r="AE53" s="5"/>
    </row>
    <row r="54" spans="1:31" ht="15" customHeight="1" x14ac:dyDescent="0.3">
      <c r="A54" s="5" t="s">
        <v>567</v>
      </c>
      <c r="B54" s="5" t="s">
        <v>568</v>
      </c>
      <c r="C54" s="5" t="s">
        <v>479</v>
      </c>
      <c r="D54" s="5" t="s">
        <v>550</v>
      </c>
      <c r="E54" s="5" t="s">
        <v>423</v>
      </c>
      <c r="F54" s="17">
        <v>200</v>
      </c>
      <c r="G54" s="5" t="s">
        <v>411</v>
      </c>
      <c r="H54" s="18">
        <v>35</v>
      </c>
      <c r="I54" s="18">
        <v>33.159999999999997</v>
      </c>
      <c r="J54" s="18">
        <v>1.84</v>
      </c>
      <c r="K54" s="18">
        <v>0.73</v>
      </c>
      <c r="L54" s="18">
        <v>0.34</v>
      </c>
      <c r="M54" s="18">
        <v>0.85</v>
      </c>
      <c r="N54" s="18">
        <v>0</v>
      </c>
      <c r="O54" s="18">
        <v>0</v>
      </c>
      <c r="P54" s="18">
        <v>0</v>
      </c>
      <c r="Q54" s="18">
        <v>32.090000000000003</v>
      </c>
      <c r="R54" s="18">
        <v>31.24</v>
      </c>
      <c r="S54" s="18">
        <v>14</v>
      </c>
      <c r="T54" s="18">
        <v>6248</v>
      </c>
      <c r="U54" s="18">
        <v>3448</v>
      </c>
      <c r="V54" s="5" t="s">
        <v>444</v>
      </c>
      <c r="W54" s="5" t="s">
        <v>424</v>
      </c>
      <c r="X54" s="5" t="s">
        <v>445</v>
      </c>
      <c r="Y54" s="5" t="s">
        <v>415</v>
      </c>
      <c r="Z54" s="5" t="s">
        <v>446</v>
      </c>
      <c r="AA54" s="5"/>
      <c r="AB54" s="5" t="s">
        <v>417</v>
      </c>
      <c r="AC54" s="5" t="s">
        <v>482</v>
      </c>
      <c r="AD54" s="18">
        <v>40.64</v>
      </c>
      <c r="AE54" s="19">
        <v>0.158</v>
      </c>
    </row>
    <row r="55" spans="1:31" ht="15" customHeight="1" x14ac:dyDescent="0.3">
      <c r="A55" s="5" t="s">
        <v>569</v>
      </c>
      <c r="B55" s="5" t="s">
        <v>570</v>
      </c>
      <c r="C55" s="5" t="s">
        <v>408</v>
      </c>
      <c r="D55" s="5" t="s">
        <v>451</v>
      </c>
      <c r="E55" s="5" t="s">
        <v>475</v>
      </c>
      <c r="F55" s="17">
        <v>2500</v>
      </c>
      <c r="G55" s="5" t="s">
        <v>411</v>
      </c>
      <c r="H55" s="18">
        <v>15.2</v>
      </c>
      <c r="I55" s="18">
        <v>14.67</v>
      </c>
      <c r="J55" s="18">
        <v>0.53</v>
      </c>
      <c r="K55" s="18">
        <v>0.32</v>
      </c>
      <c r="L55" s="18">
        <v>0.51</v>
      </c>
      <c r="M55" s="18">
        <v>0.28999999999999998</v>
      </c>
      <c r="N55" s="18">
        <v>0</v>
      </c>
      <c r="O55" s="18">
        <v>0</v>
      </c>
      <c r="P55" s="18">
        <v>0</v>
      </c>
      <c r="Q55" s="18">
        <v>13.84</v>
      </c>
      <c r="R55" s="18">
        <v>13.55</v>
      </c>
      <c r="S55" s="18">
        <v>6.08</v>
      </c>
      <c r="T55" s="18">
        <v>33875</v>
      </c>
      <c r="U55" s="18">
        <v>18675</v>
      </c>
      <c r="V55" s="5" t="s">
        <v>412</v>
      </c>
      <c r="W55" s="5" t="s">
        <v>413</v>
      </c>
      <c r="X55" s="5" t="s">
        <v>414</v>
      </c>
      <c r="Y55" s="5" t="s">
        <v>415</v>
      </c>
      <c r="Z55" s="5" t="s">
        <v>486</v>
      </c>
      <c r="AA55" s="5"/>
      <c r="AB55" s="5" t="s">
        <v>417</v>
      </c>
      <c r="AC55" s="5" t="s">
        <v>418</v>
      </c>
      <c r="AD55" s="18"/>
      <c r="AE55" s="5"/>
    </row>
    <row r="56" spans="1:31" ht="15" customHeight="1" x14ac:dyDescent="0.3">
      <c r="A56" s="5" t="s">
        <v>571</v>
      </c>
      <c r="B56" s="5" t="s">
        <v>572</v>
      </c>
      <c r="C56" s="5" t="s">
        <v>479</v>
      </c>
      <c r="D56" s="5" t="s">
        <v>422</v>
      </c>
      <c r="E56" s="5" t="s">
        <v>410</v>
      </c>
      <c r="F56" s="17">
        <v>5000</v>
      </c>
      <c r="G56" s="5" t="s">
        <v>411</v>
      </c>
      <c r="H56" s="18">
        <v>3.2</v>
      </c>
      <c r="I56" s="18">
        <v>3.01</v>
      </c>
      <c r="J56" s="18">
        <v>0.19</v>
      </c>
      <c r="K56" s="18">
        <v>0.08</v>
      </c>
      <c r="L56" s="18">
        <v>7.0000000000000007E-2</v>
      </c>
      <c r="M56" s="18">
        <v>0</v>
      </c>
      <c r="N56" s="18">
        <v>0</v>
      </c>
      <c r="O56" s="18">
        <v>0.05</v>
      </c>
      <c r="P56" s="18">
        <v>0</v>
      </c>
      <c r="Q56" s="18">
        <v>2.81</v>
      </c>
      <c r="R56" s="18">
        <v>2.81</v>
      </c>
      <c r="S56" s="18">
        <v>1.28</v>
      </c>
      <c r="T56" s="18">
        <v>14050</v>
      </c>
      <c r="U56" s="18">
        <v>7650</v>
      </c>
      <c r="V56" s="5" t="s">
        <v>444</v>
      </c>
      <c r="W56" s="5" t="s">
        <v>424</v>
      </c>
      <c r="X56" s="5" t="s">
        <v>445</v>
      </c>
      <c r="Y56" s="5" t="s">
        <v>415</v>
      </c>
      <c r="Z56" s="5" t="s">
        <v>461</v>
      </c>
      <c r="AA56" s="5"/>
      <c r="AB56" s="5" t="s">
        <v>417</v>
      </c>
      <c r="AC56" s="5" t="s">
        <v>448</v>
      </c>
      <c r="AD56" s="18">
        <v>3.37</v>
      </c>
      <c r="AE56" s="19">
        <v>9.4E-2</v>
      </c>
    </row>
    <row r="57" spans="1:31" ht="15" customHeight="1" x14ac:dyDescent="0.3">
      <c r="A57" s="5" t="s">
        <v>573</v>
      </c>
      <c r="B57" s="5" t="s">
        <v>574</v>
      </c>
      <c r="C57" s="5" t="s">
        <v>575</v>
      </c>
      <c r="D57" s="5" t="s">
        <v>440</v>
      </c>
      <c r="E57" s="5" t="s">
        <v>423</v>
      </c>
      <c r="F57" s="17">
        <v>1000</v>
      </c>
      <c r="G57" s="5" t="s">
        <v>411</v>
      </c>
      <c r="H57" s="18">
        <v>0.45</v>
      </c>
      <c r="I57" s="18">
        <v>0.43</v>
      </c>
      <c r="J57" s="18">
        <v>0.02</v>
      </c>
      <c r="K57" s="18">
        <v>0.01</v>
      </c>
      <c r="L57" s="18">
        <v>0.01</v>
      </c>
      <c r="M57" s="18">
        <v>0</v>
      </c>
      <c r="N57" s="18">
        <v>0</v>
      </c>
      <c r="O57" s="18">
        <v>0.01</v>
      </c>
      <c r="P57" s="18">
        <v>0.01</v>
      </c>
      <c r="Q57" s="18">
        <v>0.4</v>
      </c>
      <c r="R57" s="18">
        <v>0.39</v>
      </c>
      <c r="S57" s="18">
        <v>0.18</v>
      </c>
      <c r="T57" s="18">
        <v>390</v>
      </c>
      <c r="U57" s="18">
        <v>210</v>
      </c>
      <c r="V57" s="5" t="s">
        <v>412</v>
      </c>
      <c r="W57" s="5" t="s">
        <v>413</v>
      </c>
      <c r="X57" s="5" t="s">
        <v>414</v>
      </c>
      <c r="Y57" s="5" t="s">
        <v>415</v>
      </c>
      <c r="Z57" s="5" t="s">
        <v>469</v>
      </c>
      <c r="AA57" s="5"/>
      <c r="AB57" s="5" t="s">
        <v>417</v>
      </c>
      <c r="AC57" s="5" t="s">
        <v>418</v>
      </c>
      <c r="AD57" s="18"/>
      <c r="AE57" s="5"/>
    </row>
    <row r="58" spans="1:31" ht="15" customHeight="1" x14ac:dyDescent="0.3">
      <c r="A58" s="5" t="s">
        <v>576</v>
      </c>
      <c r="B58" s="5" t="s">
        <v>577</v>
      </c>
      <c r="C58" s="5" t="s">
        <v>430</v>
      </c>
      <c r="D58" s="5" t="s">
        <v>507</v>
      </c>
      <c r="E58" s="5" t="s">
        <v>432</v>
      </c>
      <c r="F58" s="17">
        <v>5000</v>
      </c>
      <c r="G58" s="5" t="s">
        <v>433</v>
      </c>
      <c r="H58" s="18">
        <v>8.9</v>
      </c>
      <c r="I58" s="18">
        <v>8</v>
      </c>
      <c r="J58" s="18">
        <v>0.9</v>
      </c>
      <c r="K58" s="18">
        <v>0.03</v>
      </c>
      <c r="L58" s="18">
        <v>0.65</v>
      </c>
      <c r="M58" s="18">
        <v>0</v>
      </c>
      <c r="N58" s="18">
        <v>0</v>
      </c>
      <c r="O58" s="18">
        <v>0.26</v>
      </c>
      <c r="P58" s="18">
        <v>0</v>
      </c>
      <c r="Q58" s="18">
        <v>7.06</v>
      </c>
      <c r="R58" s="18">
        <v>7.06</v>
      </c>
      <c r="S58" s="18">
        <v>3.56</v>
      </c>
      <c r="T58" s="18">
        <v>35300</v>
      </c>
      <c r="U58" s="18">
        <v>17500</v>
      </c>
      <c r="V58" s="5" t="s">
        <v>434</v>
      </c>
      <c r="W58" s="5" t="s">
        <v>435</v>
      </c>
      <c r="X58" s="5" t="s">
        <v>414</v>
      </c>
      <c r="Y58" s="5" t="s">
        <v>489</v>
      </c>
      <c r="Z58" s="5" t="s">
        <v>547</v>
      </c>
      <c r="AA58" s="5"/>
      <c r="AB58" s="5" t="s">
        <v>417</v>
      </c>
      <c r="AC58" s="5" t="s">
        <v>448</v>
      </c>
      <c r="AD58" s="18">
        <v>11</v>
      </c>
      <c r="AE58" s="19">
        <v>0.113</v>
      </c>
    </row>
    <row r="59" spans="1:31" ht="15" customHeight="1" x14ac:dyDescent="0.3">
      <c r="A59" s="5" t="s">
        <v>578</v>
      </c>
      <c r="B59" s="5" t="s">
        <v>420</v>
      </c>
      <c r="C59" s="5" t="s">
        <v>408</v>
      </c>
      <c r="D59" s="5" t="s">
        <v>507</v>
      </c>
      <c r="E59" s="5" t="s">
        <v>455</v>
      </c>
      <c r="F59" s="17">
        <v>500</v>
      </c>
      <c r="G59" s="5" t="s">
        <v>433</v>
      </c>
      <c r="H59" s="18">
        <v>8.9</v>
      </c>
      <c r="I59" s="18">
        <v>7.88</v>
      </c>
      <c r="J59" s="18">
        <v>1.02</v>
      </c>
      <c r="K59" s="18">
        <v>0.17</v>
      </c>
      <c r="L59" s="18">
        <v>0.63</v>
      </c>
      <c r="M59" s="18">
        <v>0.19</v>
      </c>
      <c r="N59" s="18">
        <v>0.13</v>
      </c>
      <c r="O59" s="18">
        <v>0</v>
      </c>
      <c r="P59" s="18">
        <v>0</v>
      </c>
      <c r="Q59" s="18">
        <v>7.08</v>
      </c>
      <c r="R59" s="18">
        <v>6.76</v>
      </c>
      <c r="S59" s="18">
        <v>3.56</v>
      </c>
      <c r="T59" s="18">
        <v>3380</v>
      </c>
      <c r="U59" s="18">
        <v>1600</v>
      </c>
      <c r="V59" s="5" t="s">
        <v>412</v>
      </c>
      <c r="W59" s="5" t="s">
        <v>413</v>
      </c>
      <c r="X59" s="5" t="s">
        <v>414</v>
      </c>
      <c r="Y59" s="5" t="s">
        <v>415</v>
      </c>
      <c r="Z59" s="5" t="s">
        <v>457</v>
      </c>
      <c r="AA59" s="5" t="s">
        <v>466</v>
      </c>
      <c r="AB59" s="5" t="s">
        <v>417</v>
      </c>
      <c r="AC59" s="5" t="s">
        <v>482</v>
      </c>
      <c r="AD59" s="18"/>
      <c r="AE59" s="5"/>
    </row>
    <row r="60" spans="1:31" ht="15" customHeight="1" x14ac:dyDescent="0.3">
      <c r="A60" s="5" t="s">
        <v>579</v>
      </c>
      <c r="B60" s="5" t="s">
        <v>580</v>
      </c>
      <c r="C60" s="5" t="s">
        <v>454</v>
      </c>
      <c r="D60" s="5" t="s">
        <v>431</v>
      </c>
      <c r="E60" s="5" t="s">
        <v>432</v>
      </c>
      <c r="F60" s="17">
        <v>50</v>
      </c>
      <c r="G60" s="5" t="s">
        <v>433</v>
      </c>
      <c r="H60" s="18">
        <v>42</v>
      </c>
      <c r="I60" s="18">
        <v>40.369999999999997</v>
      </c>
      <c r="J60" s="18">
        <v>1.63</v>
      </c>
      <c r="K60" s="18">
        <v>7.0000000000000007E-2</v>
      </c>
      <c r="L60" s="18">
        <v>1.2</v>
      </c>
      <c r="M60" s="18">
        <v>0.41</v>
      </c>
      <c r="N60" s="18">
        <v>0</v>
      </c>
      <c r="O60" s="18">
        <v>0</v>
      </c>
      <c r="P60" s="18">
        <v>0</v>
      </c>
      <c r="Q60" s="18">
        <v>39.1</v>
      </c>
      <c r="R60" s="18">
        <v>38.69</v>
      </c>
      <c r="S60" s="18">
        <v>16.8</v>
      </c>
      <c r="T60" s="18">
        <v>1934.5</v>
      </c>
      <c r="U60" s="18">
        <v>1094.5</v>
      </c>
      <c r="V60" s="5" t="s">
        <v>444</v>
      </c>
      <c r="W60" s="5" t="s">
        <v>413</v>
      </c>
      <c r="X60" s="5" t="s">
        <v>456</v>
      </c>
      <c r="Y60" s="5" t="s">
        <v>415</v>
      </c>
      <c r="Z60" s="5" t="s">
        <v>499</v>
      </c>
      <c r="AA60" s="5"/>
      <c r="AB60" s="5" t="s">
        <v>417</v>
      </c>
      <c r="AC60" s="5" t="s">
        <v>448</v>
      </c>
      <c r="AD60" s="18"/>
      <c r="AE60" s="5"/>
    </row>
    <row r="61" spans="1:31" ht="15" customHeight="1" x14ac:dyDescent="0.3">
      <c r="A61" s="5" t="s">
        <v>581</v>
      </c>
      <c r="B61" s="5" t="s">
        <v>582</v>
      </c>
      <c r="C61" s="5" t="s">
        <v>531</v>
      </c>
      <c r="D61" s="5" t="s">
        <v>460</v>
      </c>
      <c r="E61" s="5" t="s">
        <v>455</v>
      </c>
      <c r="F61" s="17">
        <v>100</v>
      </c>
      <c r="G61" s="5" t="s">
        <v>411</v>
      </c>
      <c r="H61" s="18">
        <v>22.5</v>
      </c>
      <c r="I61" s="18">
        <v>21.87</v>
      </c>
      <c r="J61" s="18">
        <v>0.63</v>
      </c>
      <c r="K61" s="18">
        <v>0.43</v>
      </c>
      <c r="L61" s="18">
        <v>0.83</v>
      </c>
      <c r="M61" s="18">
        <v>0.81</v>
      </c>
      <c r="N61" s="18">
        <v>0</v>
      </c>
      <c r="O61" s="18">
        <v>0</v>
      </c>
      <c r="P61" s="18">
        <v>0</v>
      </c>
      <c r="Q61" s="18">
        <v>20.61</v>
      </c>
      <c r="R61" s="18">
        <v>19.8</v>
      </c>
      <c r="S61" s="18">
        <v>9</v>
      </c>
      <c r="T61" s="18">
        <v>1980</v>
      </c>
      <c r="U61" s="18">
        <v>1080</v>
      </c>
      <c r="V61" s="5" t="s">
        <v>434</v>
      </c>
      <c r="W61" s="5" t="s">
        <v>435</v>
      </c>
      <c r="X61" s="5" t="s">
        <v>425</v>
      </c>
      <c r="Y61" s="5" t="s">
        <v>426</v>
      </c>
      <c r="Z61" s="5"/>
      <c r="AA61" s="5"/>
      <c r="AB61" s="5" t="s">
        <v>417</v>
      </c>
      <c r="AC61" s="5" t="s">
        <v>427</v>
      </c>
      <c r="AD61" s="18">
        <v>24.06</v>
      </c>
      <c r="AE61" s="19">
        <v>0.23899999999999999</v>
      </c>
    </row>
    <row r="62" spans="1:31" ht="15" customHeight="1" x14ac:dyDescent="0.3">
      <c r="A62" s="5" t="s">
        <v>583</v>
      </c>
      <c r="B62" s="5" t="s">
        <v>584</v>
      </c>
      <c r="C62" s="5" t="s">
        <v>479</v>
      </c>
      <c r="D62" s="5" t="s">
        <v>422</v>
      </c>
      <c r="E62" s="5" t="s">
        <v>410</v>
      </c>
      <c r="F62" s="17">
        <v>500</v>
      </c>
      <c r="G62" s="5" t="s">
        <v>411</v>
      </c>
      <c r="H62" s="18">
        <v>3.2</v>
      </c>
      <c r="I62" s="18">
        <v>2.88</v>
      </c>
      <c r="J62" s="18">
        <v>0.32</v>
      </c>
      <c r="K62" s="18">
        <v>0.02</v>
      </c>
      <c r="L62" s="18">
        <v>0.1</v>
      </c>
      <c r="M62" s="18">
        <v>0.03</v>
      </c>
      <c r="N62" s="18">
        <v>0</v>
      </c>
      <c r="O62" s="18">
        <v>0</v>
      </c>
      <c r="P62" s="18">
        <v>0.02</v>
      </c>
      <c r="Q62" s="18">
        <v>2.76</v>
      </c>
      <c r="R62" s="18">
        <v>2.71</v>
      </c>
      <c r="S62" s="18">
        <v>1.28</v>
      </c>
      <c r="T62" s="18">
        <v>1355</v>
      </c>
      <c r="U62" s="18">
        <v>715</v>
      </c>
      <c r="V62" s="5" t="s">
        <v>444</v>
      </c>
      <c r="W62" s="5" t="s">
        <v>424</v>
      </c>
      <c r="X62" s="5" t="s">
        <v>445</v>
      </c>
      <c r="Y62" s="5" t="s">
        <v>426</v>
      </c>
      <c r="Z62" s="5"/>
      <c r="AA62" s="5"/>
      <c r="AB62" s="5" t="s">
        <v>417</v>
      </c>
      <c r="AC62" s="5" t="s">
        <v>482</v>
      </c>
      <c r="AD62" s="18">
        <v>3.67</v>
      </c>
      <c r="AE62" s="19">
        <v>0.21199999999999999</v>
      </c>
    </row>
    <row r="63" spans="1:31" ht="15" customHeight="1" x14ac:dyDescent="0.3">
      <c r="A63" s="5" t="s">
        <v>585</v>
      </c>
      <c r="B63" s="5" t="s">
        <v>586</v>
      </c>
      <c r="C63" s="5" t="s">
        <v>443</v>
      </c>
      <c r="D63" s="5" t="s">
        <v>431</v>
      </c>
      <c r="E63" s="5" t="s">
        <v>423</v>
      </c>
      <c r="F63" s="17">
        <v>1000</v>
      </c>
      <c r="G63" s="5" t="s">
        <v>433</v>
      </c>
      <c r="H63" s="18">
        <v>42</v>
      </c>
      <c r="I63" s="18">
        <v>37.96</v>
      </c>
      <c r="J63" s="18">
        <v>4.04</v>
      </c>
      <c r="K63" s="18">
        <v>0.28000000000000003</v>
      </c>
      <c r="L63" s="18">
        <v>0.64</v>
      </c>
      <c r="M63" s="18">
        <v>0</v>
      </c>
      <c r="N63" s="18">
        <v>1.93</v>
      </c>
      <c r="O63" s="18">
        <v>0</v>
      </c>
      <c r="P63" s="18">
        <v>0</v>
      </c>
      <c r="Q63" s="18">
        <v>37.04</v>
      </c>
      <c r="R63" s="18">
        <v>35.11</v>
      </c>
      <c r="S63" s="18">
        <v>16.8</v>
      </c>
      <c r="T63" s="18">
        <v>35110</v>
      </c>
      <c r="U63" s="18">
        <v>18310</v>
      </c>
      <c r="V63" s="5" t="s">
        <v>444</v>
      </c>
      <c r="W63" s="5" t="s">
        <v>413</v>
      </c>
      <c r="X63" s="5" t="s">
        <v>445</v>
      </c>
      <c r="Y63" s="5" t="s">
        <v>426</v>
      </c>
      <c r="Z63" s="5"/>
      <c r="AA63" s="5" t="s">
        <v>437</v>
      </c>
      <c r="AB63" s="5" t="s">
        <v>417</v>
      </c>
      <c r="AC63" s="5" t="s">
        <v>427</v>
      </c>
      <c r="AD63" s="18"/>
      <c r="AE63" s="5"/>
    </row>
    <row r="64" spans="1:31" ht="15" customHeight="1" x14ac:dyDescent="0.3">
      <c r="A64" s="5" t="s">
        <v>587</v>
      </c>
      <c r="B64" s="5" t="s">
        <v>588</v>
      </c>
      <c r="C64" s="5" t="s">
        <v>485</v>
      </c>
      <c r="D64" s="5" t="s">
        <v>492</v>
      </c>
      <c r="E64" s="5" t="s">
        <v>410</v>
      </c>
      <c r="F64" s="17">
        <v>2500</v>
      </c>
      <c r="G64" s="5" t="s">
        <v>411</v>
      </c>
      <c r="H64" s="18">
        <v>28</v>
      </c>
      <c r="I64" s="18">
        <v>27.56</v>
      </c>
      <c r="J64" s="18">
        <v>0.44</v>
      </c>
      <c r="K64" s="18">
        <v>0.76</v>
      </c>
      <c r="L64" s="18">
        <v>0.73</v>
      </c>
      <c r="M64" s="18">
        <v>0.22</v>
      </c>
      <c r="N64" s="18">
        <v>1.47</v>
      </c>
      <c r="O64" s="18">
        <v>0</v>
      </c>
      <c r="P64" s="18">
        <v>0</v>
      </c>
      <c r="Q64" s="18">
        <v>26.07</v>
      </c>
      <c r="R64" s="18">
        <v>24.38</v>
      </c>
      <c r="S64" s="18">
        <v>11.2</v>
      </c>
      <c r="T64" s="18">
        <v>60950</v>
      </c>
      <c r="U64" s="18">
        <v>32950</v>
      </c>
      <c r="V64" s="5" t="s">
        <v>444</v>
      </c>
      <c r="W64" s="5" t="s">
        <v>413</v>
      </c>
      <c r="X64" s="5" t="s">
        <v>456</v>
      </c>
      <c r="Y64" s="5" t="s">
        <v>489</v>
      </c>
      <c r="Z64" s="5" t="s">
        <v>486</v>
      </c>
      <c r="AA64" s="5" t="s">
        <v>447</v>
      </c>
      <c r="AB64" s="5" t="s">
        <v>417</v>
      </c>
      <c r="AC64" s="5" t="s">
        <v>448</v>
      </c>
      <c r="AD64" s="18"/>
      <c r="AE64" s="5"/>
    </row>
    <row r="65" spans="1:31" ht="15" customHeight="1" x14ac:dyDescent="0.3">
      <c r="A65" s="5" t="s">
        <v>589</v>
      </c>
      <c r="B65" s="5" t="s">
        <v>590</v>
      </c>
      <c r="C65" s="5" t="s">
        <v>575</v>
      </c>
      <c r="D65" s="5" t="s">
        <v>521</v>
      </c>
      <c r="E65" s="5" t="s">
        <v>475</v>
      </c>
      <c r="F65" s="17">
        <v>50</v>
      </c>
      <c r="G65" s="5" t="s">
        <v>411</v>
      </c>
      <c r="H65" s="18">
        <v>12.75</v>
      </c>
      <c r="I65" s="18">
        <v>12.53</v>
      </c>
      <c r="J65" s="18">
        <v>0.22</v>
      </c>
      <c r="K65" s="18">
        <v>0.37</v>
      </c>
      <c r="L65" s="18">
        <v>0.88</v>
      </c>
      <c r="M65" s="18">
        <v>0.5</v>
      </c>
      <c r="N65" s="18">
        <v>0.62</v>
      </c>
      <c r="O65" s="18">
        <v>0</v>
      </c>
      <c r="P65" s="18">
        <v>0</v>
      </c>
      <c r="Q65" s="18">
        <v>11.28</v>
      </c>
      <c r="R65" s="18">
        <v>10.16</v>
      </c>
      <c r="S65" s="18">
        <v>5.0999999999999996</v>
      </c>
      <c r="T65" s="18">
        <v>508</v>
      </c>
      <c r="U65" s="18">
        <v>253</v>
      </c>
      <c r="V65" s="5" t="s">
        <v>412</v>
      </c>
      <c r="W65" s="5" t="s">
        <v>413</v>
      </c>
      <c r="X65" s="5" t="s">
        <v>414</v>
      </c>
      <c r="Y65" s="5" t="s">
        <v>426</v>
      </c>
      <c r="Z65" s="5"/>
      <c r="AA65" s="5"/>
      <c r="AB65" s="5" t="s">
        <v>417</v>
      </c>
      <c r="AC65" s="5" t="s">
        <v>482</v>
      </c>
      <c r="AD65" s="18"/>
      <c r="AE65" s="5"/>
    </row>
    <row r="66" spans="1:31" ht="15" customHeight="1" x14ac:dyDescent="0.3">
      <c r="A66" s="5" t="s">
        <v>591</v>
      </c>
      <c r="B66" s="5" t="s">
        <v>566</v>
      </c>
      <c r="C66" s="5" t="s">
        <v>575</v>
      </c>
      <c r="D66" s="5" t="s">
        <v>431</v>
      </c>
      <c r="E66" s="5" t="s">
        <v>455</v>
      </c>
      <c r="F66" s="17">
        <v>500</v>
      </c>
      <c r="G66" s="5" t="s">
        <v>433</v>
      </c>
      <c r="H66" s="18">
        <v>42</v>
      </c>
      <c r="I66" s="18">
        <v>37.86</v>
      </c>
      <c r="J66" s="18">
        <v>4.1399999999999997</v>
      </c>
      <c r="K66" s="18">
        <v>1.18</v>
      </c>
      <c r="L66" s="18">
        <v>0.36</v>
      </c>
      <c r="M66" s="18">
        <v>0</v>
      </c>
      <c r="N66" s="18">
        <v>0</v>
      </c>
      <c r="O66" s="18">
        <v>0.71</v>
      </c>
      <c r="P66" s="18">
        <v>0.19</v>
      </c>
      <c r="Q66" s="18">
        <v>35.61</v>
      </c>
      <c r="R66" s="18">
        <v>35.42</v>
      </c>
      <c r="S66" s="18">
        <v>16.8</v>
      </c>
      <c r="T66" s="18">
        <v>17710</v>
      </c>
      <c r="U66" s="18">
        <v>9310</v>
      </c>
      <c r="V66" s="5" t="s">
        <v>412</v>
      </c>
      <c r="W66" s="5" t="s">
        <v>413</v>
      </c>
      <c r="X66" s="5" t="s">
        <v>414</v>
      </c>
      <c r="Y66" s="5" t="s">
        <v>426</v>
      </c>
      <c r="Z66" s="5"/>
      <c r="AA66" s="5"/>
      <c r="AB66" s="5" t="s">
        <v>417</v>
      </c>
      <c r="AC66" s="5" t="s">
        <v>448</v>
      </c>
      <c r="AD66" s="18"/>
      <c r="AE66" s="5"/>
    </row>
    <row r="67" spans="1:31" ht="15" customHeight="1" x14ac:dyDescent="0.3">
      <c r="A67" s="5" t="s">
        <v>592</v>
      </c>
      <c r="B67" s="5" t="s">
        <v>593</v>
      </c>
      <c r="C67" s="5" t="s">
        <v>479</v>
      </c>
      <c r="D67" s="5" t="s">
        <v>422</v>
      </c>
      <c r="E67" s="5" t="s">
        <v>432</v>
      </c>
      <c r="F67" s="17">
        <v>100</v>
      </c>
      <c r="G67" s="5" t="s">
        <v>411</v>
      </c>
      <c r="H67" s="18">
        <v>3.2</v>
      </c>
      <c r="I67" s="18">
        <v>3.18</v>
      </c>
      <c r="J67" s="18">
        <v>0.02</v>
      </c>
      <c r="K67" s="18">
        <v>0</v>
      </c>
      <c r="L67" s="18">
        <v>0.25</v>
      </c>
      <c r="M67" s="18">
        <v>0</v>
      </c>
      <c r="N67" s="18">
        <v>0</v>
      </c>
      <c r="O67" s="18">
        <v>0</v>
      </c>
      <c r="P67" s="18">
        <v>0</v>
      </c>
      <c r="Q67" s="18">
        <v>2.93</v>
      </c>
      <c r="R67" s="18">
        <v>2.93</v>
      </c>
      <c r="S67" s="18">
        <v>1.28</v>
      </c>
      <c r="T67" s="18">
        <v>293</v>
      </c>
      <c r="U67" s="18">
        <v>165</v>
      </c>
      <c r="V67" s="5" t="s">
        <v>444</v>
      </c>
      <c r="W67" s="5" t="s">
        <v>424</v>
      </c>
      <c r="X67" s="5" t="s">
        <v>445</v>
      </c>
      <c r="Y67" s="5" t="s">
        <v>489</v>
      </c>
      <c r="Z67" s="5" t="s">
        <v>547</v>
      </c>
      <c r="AA67" s="5"/>
      <c r="AB67" s="5" t="s">
        <v>417</v>
      </c>
      <c r="AC67" s="5" t="s">
        <v>448</v>
      </c>
      <c r="AD67" s="18">
        <v>3.95</v>
      </c>
      <c r="AE67" s="19">
        <v>0.13100000000000001</v>
      </c>
    </row>
    <row r="68" spans="1:31" ht="15" customHeight="1" x14ac:dyDescent="0.3">
      <c r="A68" s="5" t="s">
        <v>594</v>
      </c>
      <c r="B68" s="5" t="s">
        <v>584</v>
      </c>
      <c r="C68" s="5" t="s">
        <v>454</v>
      </c>
      <c r="D68" s="5" t="s">
        <v>422</v>
      </c>
      <c r="E68" s="5" t="s">
        <v>432</v>
      </c>
      <c r="F68" s="17">
        <v>5000</v>
      </c>
      <c r="G68" s="5" t="s">
        <v>411</v>
      </c>
      <c r="H68" s="18">
        <v>3.2</v>
      </c>
      <c r="I68" s="18">
        <v>3.01</v>
      </c>
      <c r="J68" s="18">
        <v>0.19</v>
      </c>
      <c r="K68" s="18">
        <v>0.04</v>
      </c>
      <c r="L68" s="18">
        <v>0.24</v>
      </c>
      <c r="M68" s="18">
        <v>0</v>
      </c>
      <c r="N68" s="18">
        <v>0</v>
      </c>
      <c r="O68" s="18">
        <v>0</v>
      </c>
      <c r="P68" s="18">
        <v>0.05</v>
      </c>
      <c r="Q68" s="18">
        <v>2.73</v>
      </c>
      <c r="R68" s="18">
        <v>2.68</v>
      </c>
      <c r="S68" s="18">
        <v>1.28</v>
      </c>
      <c r="T68" s="18">
        <v>13400</v>
      </c>
      <c r="U68" s="18">
        <v>7000</v>
      </c>
      <c r="V68" s="5" t="s">
        <v>444</v>
      </c>
      <c r="W68" s="5" t="s">
        <v>413</v>
      </c>
      <c r="X68" s="5" t="s">
        <v>456</v>
      </c>
      <c r="Y68" s="5" t="s">
        <v>426</v>
      </c>
      <c r="Z68" s="5"/>
      <c r="AA68" s="5" t="s">
        <v>447</v>
      </c>
      <c r="AB68" s="5" t="s">
        <v>417</v>
      </c>
      <c r="AC68" s="5" t="s">
        <v>427</v>
      </c>
      <c r="AD68" s="18"/>
      <c r="AE68" s="5"/>
    </row>
    <row r="69" spans="1:31" ht="15" customHeight="1" x14ac:dyDescent="0.3">
      <c r="A69" s="5" t="s">
        <v>595</v>
      </c>
      <c r="B69" s="5" t="s">
        <v>596</v>
      </c>
      <c r="C69" s="5" t="s">
        <v>474</v>
      </c>
      <c r="D69" s="5" t="s">
        <v>431</v>
      </c>
      <c r="E69" s="5" t="s">
        <v>423</v>
      </c>
      <c r="F69" s="17">
        <v>50</v>
      </c>
      <c r="G69" s="5" t="s">
        <v>433</v>
      </c>
      <c r="H69" s="18">
        <v>42</v>
      </c>
      <c r="I69" s="18">
        <v>37.22</v>
      </c>
      <c r="J69" s="18">
        <v>4.78</v>
      </c>
      <c r="K69" s="18">
        <v>1.04</v>
      </c>
      <c r="L69" s="18">
        <v>0.31</v>
      </c>
      <c r="M69" s="18">
        <v>0</v>
      </c>
      <c r="N69" s="18">
        <v>2.4500000000000002</v>
      </c>
      <c r="O69" s="18">
        <v>0</v>
      </c>
      <c r="P69" s="18">
        <v>0</v>
      </c>
      <c r="Q69" s="18">
        <v>35.869999999999997</v>
      </c>
      <c r="R69" s="18">
        <v>33.42</v>
      </c>
      <c r="S69" s="18">
        <v>16.8</v>
      </c>
      <c r="T69" s="18">
        <v>1671</v>
      </c>
      <c r="U69" s="18">
        <v>831</v>
      </c>
      <c r="V69" s="5" t="s">
        <v>434</v>
      </c>
      <c r="W69" s="5" t="s">
        <v>435</v>
      </c>
      <c r="X69" s="5" t="s">
        <v>456</v>
      </c>
      <c r="Y69" s="5" t="s">
        <v>415</v>
      </c>
      <c r="Z69" s="5" t="s">
        <v>457</v>
      </c>
      <c r="AA69" s="5" t="s">
        <v>510</v>
      </c>
      <c r="AB69" s="5" t="s">
        <v>417</v>
      </c>
      <c r="AC69" s="5" t="s">
        <v>418</v>
      </c>
      <c r="AD69" s="18">
        <v>47.06</v>
      </c>
      <c r="AE69" s="19">
        <v>9.9000000000000005E-2</v>
      </c>
    </row>
    <row r="70" spans="1:31" ht="15" customHeight="1" x14ac:dyDescent="0.3">
      <c r="A70" s="5" t="s">
        <v>597</v>
      </c>
      <c r="B70" s="5" t="s">
        <v>598</v>
      </c>
      <c r="C70" s="5" t="s">
        <v>531</v>
      </c>
      <c r="D70" s="5" t="s">
        <v>440</v>
      </c>
      <c r="E70" s="5" t="s">
        <v>410</v>
      </c>
      <c r="F70" s="17">
        <v>5000</v>
      </c>
      <c r="G70" s="5" t="s">
        <v>411</v>
      </c>
      <c r="H70" s="18">
        <v>0.45</v>
      </c>
      <c r="I70" s="18">
        <v>0.44</v>
      </c>
      <c r="J70" s="18">
        <v>0.01</v>
      </c>
      <c r="K70" s="18">
        <v>0.01</v>
      </c>
      <c r="L70" s="18">
        <v>0</v>
      </c>
      <c r="M70" s="18">
        <v>0</v>
      </c>
      <c r="N70" s="18">
        <v>0</v>
      </c>
      <c r="O70" s="18">
        <v>0</v>
      </c>
      <c r="P70" s="18">
        <v>0</v>
      </c>
      <c r="Q70" s="18">
        <v>0.43</v>
      </c>
      <c r="R70" s="18">
        <v>0.43</v>
      </c>
      <c r="S70" s="18">
        <v>0.18</v>
      </c>
      <c r="T70" s="18">
        <v>2150</v>
      </c>
      <c r="U70" s="18">
        <v>1250</v>
      </c>
      <c r="V70" s="5" t="s">
        <v>434</v>
      </c>
      <c r="W70" s="5" t="s">
        <v>435</v>
      </c>
      <c r="X70" s="5" t="s">
        <v>425</v>
      </c>
      <c r="Y70" s="5" t="s">
        <v>426</v>
      </c>
      <c r="Z70" s="5"/>
      <c r="AA70" s="5"/>
      <c r="AB70" s="5" t="s">
        <v>417</v>
      </c>
      <c r="AC70" s="5" t="s">
        <v>427</v>
      </c>
      <c r="AD70" s="18">
        <v>0.56000000000000005</v>
      </c>
      <c r="AE70" s="19">
        <v>0.20399999999999999</v>
      </c>
    </row>
    <row r="71" spans="1:31" ht="15" customHeight="1" x14ac:dyDescent="0.3">
      <c r="A71" s="5" t="s">
        <v>599</v>
      </c>
      <c r="B71" s="5" t="s">
        <v>600</v>
      </c>
      <c r="C71" s="5" t="s">
        <v>430</v>
      </c>
      <c r="D71" s="5" t="s">
        <v>507</v>
      </c>
      <c r="E71" s="5" t="s">
        <v>432</v>
      </c>
      <c r="F71" s="17">
        <v>100</v>
      </c>
      <c r="G71" s="5" t="s">
        <v>433</v>
      </c>
      <c r="H71" s="18">
        <v>8.9</v>
      </c>
      <c r="I71" s="18">
        <v>8.6199999999999992</v>
      </c>
      <c r="J71" s="18">
        <v>0.28000000000000003</v>
      </c>
      <c r="K71" s="18">
        <v>0.03</v>
      </c>
      <c r="L71" s="18">
        <v>0.3</v>
      </c>
      <c r="M71" s="18">
        <v>0</v>
      </c>
      <c r="N71" s="18">
        <v>0</v>
      </c>
      <c r="O71" s="18">
        <v>0</v>
      </c>
      <c r="P71" s="18">
        <v>0</v>
      </c>
      <c r="Q71" s="18">
        <v>8.2899999999999991</v>
      </c>
      <c r="R71" s="18">
        <v>8.2899999999999991</v>
      </c>
      <c r="S71" s="18">
        <v>3.56</v>
      </c>
      <c r="T71" s="18">
        <v>829</v>
      </c>
      <c r="U71" s="18">
        <v>473</v>
      </c>
      <c r="V71" s="5" t="s">
        <v>434</v>
      </c>
      <c r="W71" s="5" t="s">
        <v>435</v>
      </c>
      <c r="X71" s="5" t="s">
        <v>414</v>
      </c>
      <c r="Y71" s="5" t="s">
        <v>415</v>
      </c>
      <c r="Z71" s="5" t="s">
        <v>416</v>
      </c>
      <c r="AA71" s="5"/>
      <c r="AB71" s="5" t="s">
        <v>417</v>
      </c>
      <c r="AC71" s="5" t="s">
        <v>418</v>
      </c>
      <c r="AD71" s="18">
        <v>11.35</v>
      </c>
      <c r="AE71" s="19">
        <v>0.2</v>
      </c>
    </row>
    <row r="72" spans="1:31" ht="15" customHeight="1" x14ac:dyDescent="0.3">
      <c r="A72" s="5" t="s">
        <v>601</v>
      </c>
      <c r="B72" s="5" t="s">
        <v>602</v>
      </c>
      <c r="C72" s="5" t="s">
        <v>485</v>
      </c>
      <c r="D72" s="5" t="s">
        <v>550</v>
      </c>
      <c r="E72" s="5" t="s">
        <v>410</v>
      </c>
      <c r="F72" s="17">
        <v>500</v>
      </c>
      <c r="G72" s="5" t="s">
        <v>411</v>
      </c>
      <c r="H72" s="18">
        <v>35</v>
      </c>
      <c r="I72" s="18">
        <v>32.299999999999997</v>
      </c>
      <c r="J72" s="18">
        <v>2.7</v>
      </c>
      <c r="K72" s="18">
        <v>0.03</v>
      </c>
      <c r="L72" s="18">
        <v>2.8</v>
      </c>
      <c r="M72" s="18">
        <v>0.6</v>
      </c>
      <c r="N72" s="18">
        <v>0</v>
      </c>
      <c r="O72" s="18">
        <v>0.47</v>
      </c>
      <c r="P72" s="18">
        <v>0.23</v>
      </c>
      <c r="Q72" s="18">
        <v>29</v>
      </c>
      <c r="R72" s="18">
        <v>28.17</v>
      </c>
      <c r="S72" s="18">
        <v>14</v>
      </c>
      <c r="T72" s="18">
        <v>14085</v>
      </c>
      <c r="U72" s="18">
        <v>7085</v>
      </c>
      <c r="V72" s="5" t="s">
        <v>444</v>
      </c>
      <c r="W72" s="5" t="s">
        <v>413</v>
      </c>
      <c r="X72" s="5" t="s">
        <v>456</v>
      </c>
      <c r="Y72" s="5" t="s">
        <v>415</v>
      </c>
      <c r="Z72" s="5" t="s">
        <v>496</v>
      </c>
      <c r="AA72" s="5"/>
      <c r="AB72" s="5" t="s">
        <v>417</v>
      </c>
      <c r="AC72" s="5" t="s">
        <v>427</v>
      </c>
      <c r="AD72" s="18"/>
      <c r="AE72" s="5"/>
    </row>
    <row r="73" spans="1:31" ht="15" customHeight="1" x14ac:dyDescent="0.3">
      <c r="A73" s="5" t="s">
        <v>603</v>
      </c>
      <c r="B73" s="5" t="s">
        <v>604</v>
      </c>
      <c r="C73" s="5" t="s">
        <v>430</v>
      </c>
      <c r="D73" s="5" t="s">
        <v>550</v>
      </c>
      <c r="E73" s="5" t="s">
        <v>410</v>
      </c>
      <c r="F73" s="17">
        <v>500</v>
      </c>
      <c r="G73" s="5" t="s">
        <v>411</v>
      </c>
      <c r="H73" s="18">
        <v>35</v>
      </c>
      <c r="I73" s="18">
        <v>32.880000000000003</v>
      </c>
      <c r="J73" s="18">
        <v>2.12</v>
      </c>
      <c r="K73" s="18">
        <v>0.45</v>
      </c>
      <c r="L73" s="18">
        <v>2.2200000000000002</v>
      </c>
      <c r="M73" s="18">
        <v>0</v>
      </c>
      <c r="N73" s="18">
        <v>1.84</v>
      </c>
      <c r="O73" s="18">
        <v>0</v>
      </c>
      <c r="P73" s="18">
        <v>0.3</v>
      </c>
      <c r="Q73" s="18">
        <v>30.21</v>
      </c>
      <c r="R73" s="18">
        <v>28.07</v>
      </c>
      <c r="S73" s="18">
        <v>14</v>
      </c>
      <c r="T73" s="18">
        <v>14035</v>
      </c>
      <c r="U73" s="18">
        <v>7035</v>
      </c>
      <c r="V73" s="5" t="s">
        <v>434</v>
      </c>
      <c r="W73" s="5" t="s">
        <v>435</v>
      </c>
      <c r="X73" s="5" t="s">
        <v>414</v>
      </c>
      <c r="Y73" s="5" t="s">
        <v>415</v>
      </c>
      <c r="Z73" s="5" t="s">
        <v>499</v>
      </c>
      <c r="AA73" s="5"/>
      <c r="AB73" s="5" t="s">
        <v>417</v>
      </c>
      <c r="AC73" s="5" t="s">
        <v>448</v>
      </c>
      <c r="AD73" s="18">
        <v>42.91</v>
      </c>
      <c r="AE73" s="19">
        <v>0.109</v>
      </c>
    </row>
    <row r="74" spans="1:31" ht="15" customHeight="1" x14ac:dyDescent="0.3">
      <c r="A74" s="5" t="s">
        <v>605</v>
      </c>
      <c r="B74" s="5" t="s">
        <v>606</v>
      </c>
      <c r="C74" s="5" t="s">
        <v>474</v>
      </c>
      <c r="D74" s="5" t="s">
        <v>521</v>
      </c>
      <c r="E74" s="5" t="s">
        <v>410</v>
      </c>
      <c r="F74" s="17">
        <v>500</v>
      </c>
      <c r="G74" s="5" t="s">
        <v>411</v>
      </c>
      <c r="H74" s="18">
        <v>12.75</v>
      </c>
      <c r="I74" s="18">
        <v>12.27</v>
      </c>
      <c r="J74" s="18">
        <v>0.48</v>
      </c>
      <c r="K74" s="18">
        <v>0.1</v>
      </c>
      <c r="L74" s="18">
        <v>0.97</v>
      </c>
      <c r="M74" s="18">
        <v>0.24</v>
      </c>
      <c r="N74" s="18">
        <v>0</v>
      </c>
      <c r="O74" s="18">
        <v>0</v>
      </c>
      <c r="P74" s="18">
        <v>0</v>
      </c>
      <c r="Q74" s="18">
        <v>11.2</v>
      </c>
      <c r="R74" s="18">
        <v>10.96</v>
      </c>
      <c r="S74" s="18">
        <v>5.0999999999999996</v>
      </c>
      <c r="T74" s="18">
        <v>5480</v>
      </c>
      <c r="U74" s="18">
        <v>2930</v>
      </c>
      <c r="V74" s="5" t="s">
        <v>434</v>
      </c>
      <c r="W74" s="5" t="s">
        <v>435</v>
      </c>
      <c r="X74" s="5" t="s">
        <v>456</v>
      </c>
      <c r="Y74" s="5" t="s">
        <v>489</v>
      </c>
      <c r="Z74" s="5" t="s">
        <v>469</v>
      </c>
      <c r="AA74" s="5" t="s">
        <v>493</v>
      </c>
      <c r="AB74" s="5" t="s">
        <v>417</v>
      </c>
      <c r="AC74" s="5" t="s">
        <v>427</v>
      </c>
      <c r="AD74" s="18">
        <v>14.74</v>
      </c>
      <c r="AE74" s="19">
        <v>0.17399999999999999</v>
      </c>
    </row>
    <row r="75" spans="1:31" ht="15" customHeight="1" x14ac:dyDescent="0.3">
      <c r="A75" s="5" t="s">
        <v>607</v>
      </c>
      <c r="B75" s="5" t="s">
        <v>608</v>
      </c>
      <c r="C75" s="5" t="s">
        <v>408</v>
      </c>
      <c r="D75" s="5" t="s">
        <v>422</v>
      </c>
      <c r="E75" s="5" t="s">
        <v>410</v>
      </c>
      <c r="F75" s="17">
        <v>5000</v>
      </c>
      <c r="G75" s="5" t="s">
        <v>411</v>
      </c>
      <c r="H75" s="18">
        <v>3.2</v>
      </c>
      <c r="I75" s="18">
        <v>2.94</v>
      </c>
      <c r="J75" s="18">
        <v>0.26</v>
      </c>
      <c r="K75" s="18">
        <v>7.0000000000000007E-2</v>
      </c>
      <c r="L75" s="18">
        <v>0.22</v>
      </c>
      <c r="M75" s="18">
        <v>0.12</v>
      </c>
      <c r="N75" s="18">
        <v>7.0000000000000007E-2</v>
      </c>
      <c r="O75" s="18">
        <v>0</v>
      </c>
      <c r="P75" s="18">
        <v>0</v>
      </c>
      <c r="Q75" s="18">
        <v>2.65</v>
      </c>
      <c r="R75" s="18">
        <v>2.46</v>
      </c>
      <c r="S75" s="18">
        <v>1.28</v>
      </c>
      <c r="T75" s="18">
        <v>12300</v>
      </c>
      <c r="U75" s="18">
        <v>5900</v>
      </c>
      <c r="V75" s="5" t="s">
        <v>412</v>
      </c>
      <c r="W75" s="5" t="s">
        <v>413</v>
      </c>
      <c r="X75" s="5" t="s">
        <v>414</v>
      </c>
      <c r="Y75" s="5" t="s">
        <v>426</v>
      </c>
      <c r="Z75" s="5"/>
      <c r="AA75" s="5"/>
      <c r="AB75" s="5" t="s">
        <v>417</v>
      </c>
      <c r="AC75" s="5" t="s">
        <v>482</v>
      </c>
      <c r="AD75" s="18"/>
      <c r="AE75" s="5"/>
    </row>
    <row r="76" spans="1:31" ht="15" customHeight="1" x14ac:dyDescent="0.3">
      <c r="A76" s="5" t="s">
        <v>609</v>
      </c>
      <c r="B76" s="5" t="s">
        <v>535</v>
      </c>
      <c r="C76" s="5" t="s">
        <v>421</v>
      </c>
      <c r="D76" s="5" t="s">
        <v>507</v>
      </c>
      <c r="E76" s="5" t="s">
        <v>432</v>
      </c>
      <c r="F76" s="17">
        <v>5000</v>
      </c>
      <c r="G76" s="5" t="s">
        <v>433</v>
      </c>
      <c r="H76" s="18">
        <v>8.9</v>
      </c>
      <c r="I76" s="18">
        <v>8.6</v>
      </c>
      <c r="J76" s="18">
        <v>0.3</v>
      </c>
      <c r="K76" s="18">
        <v>0.06</v>
      </c>
      <c r="L76" s="18">
        <v>0.31</v>
      </c>
      <c r="M76" s="18">
        <v>0.27</v>
      </c>
      <c r="N76" s="18">
        <v>0.36</v>
      </c>
      <c r="O76" s="18">
        <v>0</v>
      </c>
      <c r="P76" s="18">
        <v>0</v>
      </c>
      <c r="Q76" s="18">
        <v>8.23</v>
      </c>
      <c r="R76" s="18">
        <v>7.6</v>
      </c>
      <c r="S76" s="18">
        <v>3.56</v>
      </c>
      <c r="T76" s="18">
        <v>38000</v>
      </c>
      <c r="U76" s="18">
        <v>20200</v>
      </c>
      <c r="V76" s="5" t="s">
        <v>412</v>
      </c>
      <c r="W76" s="5" t="s">
        <v>424</v>
      </c>
      <c r="X76" s="5" t="s">
        <v>425</v>
      </c>
      <c r="Y76" s="5" t="s">
        <v>489</v>
      </c>
      <c r="Z76" s="5" t="s">
        <v>496</v>
      </c>
      <c r="AA76" s="5"/>
      <c r="AB76" s="5" t="s">
        <v>417</v>
      </c>
      <c r="AC76" s="5" t="s">
        <v>427</v>
      </c>
      <c r="AD76" s="18">
        <v>11.41</v>
      </c>
      <c r="AE76" s="19">
        <v>0.189</v>
      </c>
    </row>
    <row r="77" spans="1:31" ht="15" customHeight="1" x14ac:dyDescent="0.3">
      <c r="A77" s="5" t="s">
        <v>610</v>
      </c>
      <c r="B77" s="5" t="s">
        <v>611</v>
      </c>
      <c r="C77" s="5" t="s">
        <v>575</v>
      </c>
      <c r="D77" s="5" t="s">
        <v>409</v>
      </c>
      <c r="E77" s="5" t="s">
        <v>423</v>
      </c>
      <c r="F77" s="17">
        <v>5000</v>
      </c>
      <c r="G77" s="5" t="s">
        <v>411</v>
      </c>
      <c r="H77" s="18">
        <v>8.5</v>
      </c>
      <c r="I77" s="18">
        <v>8.35</v>
      </c>
      <c r="J77" s="18">
        <v>0.15</v>
      </c>
      <c r="K77" s="18">
        <v>0.17</v>
      </c>
      <c r="L77" s="18">
        <v>0.05</v>
      </c>
      <c r="M77" s="18">
        <v>0.33</v>
      </c>
      <c r="N77" s="18">
        <v>0</v>
      </c>
      <c r="O77" s="18">
        <v>0</v>
      </c>
      <c r="P77" s="18">
        <v>0</v>
      </c>
      <c r="Q77" s="18">
        <v>8.1300000000000008</v>
      </c>
      <c r="R77" s="18">
        <v>7.8</v>
      </c>
      <c r="S77" s="18">
        <v>3.4</v>
      </c>
      <c r="T77" s="18">
        <v>39000</v>
      </c>
      <c r="U77" s="18">
        <v>22000</v>
      </c>
      <c r="V77" s="5" t="s">
        <v>412</v>
      </c>
      <c r="W77" s="5" t="s">
        <v>413</v>
      </c>
      <c r="X77" s="5" t="s">
        <v>414</v>
      </c>
      <c r="Y77" s="5" t="s">
        <v>426</v>
      </c>
      <c r="Z77" s="5"/>
      <c r="AA77" s="5"/>
      <c r="AB77" s="5" t="s">
        <v>417</v>
      </c>
      <c r="AC77" s="5" t="s">
        <v>427</v>
      </c>
      <c r="AD77" s="18"/>
      <c r="AE77" s="5"/>
    </row>
    <row r="78" spans="1:31" ht="15" customHeight="1" x14ac:dyDescent="0.3">
      <c r="A78" s="5" t="s">
        <v>612</v>
      </c>
      <c r="B78" s="5" t="s">
        <v>613</v>
      </c>
      <c r="C78" s="5" t="s">
        <v>575</v>
      </c>
      <c r="D78" s="5" t="s">
        <v>492</v>
      </c>
      <c r="E78" s="5" t="s">
        <v>455</v>
      </c>
      <c r="F78" s="17">
        <v>50</v>
      </c>
      <c r="G78" s="5" t="s">
        <v>411</v>
      </c>
      <c r="H78" s="18">
        <v>28</v>
      </c>
      <c r="I78" s="18">
        <v>25.03</v>
      </c>
      <c r="J78" s="18">
        <v>2.97</v>
      </c>
      <c r="K78" s="18">
        <v>0.13</v>
      </c>
      <c r="L78" s="18">
        <v>1.69</v>
      </c>
      <c r="M78" s="18">
        <v>0</v>
      </c>
      <c r="N78" s="18">
        <v>0</v>
      </c>
      <c r="O78" s="18">
        <v>0</v>
      </c>
      <c r="P78" s="18">
        <v>0</v>
      </c>
      <c r="Q78" s="18">
        <v>23.21</v>
      </c>
      <c r="R78" s="18">
        <v>23.21</v>
      </c>
      <c r="S78" s="18">
        <v>11.2</v>
      </c>
      <c r="T78" s="18">
        <v>1160.5</v>
      </c>
      <c r="U78" s="18">
        <v>600.5</v>
      </c>
      <c r="V78" s="5" t="s">
        <v>412</v>
      </c>
      <c r="W78" s="5" t="s">
        <v>413</v>
      </c>
      <c r="X78" s="5" t="s">
        <v>414</v>
      </c>
      <c r="Y78" s="5" t="s">
        <v>415</v>
      </c>
      <c r="Z78" s="5" t="s">
        <v>496</v>
      </c>
      <c r="AA78" s="5"/>
      <c r="AB78" s="5" t="s">
        <v>417</v>
      </c>
      <c r="AC78" s="5" t="s">
        <v>418</v>
      </c>
      <c r="AD78" s="18"/>
      <c r="AE78" s="5"/>
    </row>
    <row r="79" spans="1:31" ht="15" customHeight="1" x14ac:dyDescent="0.3">
      <c r="A79" s="5" t="s">
        <v>614</v>
      </c>
      <c r="B79" s="5" t="s">
        <v>615</v>
      </c>
      <c r="C79" s="5" t="s">
        <v>408</v>
      </c>
      <c r="D79" s="5" t="s">
        <v>507</v>
      </c>
      <c r="E79" s="5" t="s">
        <v>475</v>
      </c>
      <c r="F79" s="17">
        <v>50</v>
      </c>
      <c r="G79" s="5" t="s">
        <v>433</v>
      </c>
      <c r="H79" s="18">
        <v>8.9</v>
      </c>
      <c r="I79" s="18">
        <v>8.6</v>
      </c>
      <c r="J79" s="18">
        <v>0.3</v>
      </c>
      <c r="K79" s="18">
        <v>0.18</v>
      </c>
      <c r="L79" s="18">
        <v>0.35</v>
      </c>
      <c r="M79" s="18">
        <v>0.02</v>
      </c>
      <c r="N79" s="18">
        <v>0</v>
      </c>
      <c r="O79" s="18">
        <v>0</v>
      </c>
      <c r="P79" s="18">
        <v>0</v>
      </c>
      <c r="Q79" s="18">
        <v>8.07</v>
      </c>
      <c r="R79" s="18">
        <v>8.0500000000000007</v>
      </c>
      <c r="S79" s="18">
        <v>3.56</v>
      </c>
      <c r="T79" s="18">
        <v>402.5</v>
      </c>
      <c r="U79" s="18">
        <v>224.5</v>
      </c>
      <c r="V79" s="5" t="s">
        <v>412</v>
      </c>
      <c r="W79" s="5" t="s">
        <v>413</v>
      </c>
      <c r="X79" s="5" t="s">
        <v>414</v>
      </c>
      <c r="Y79" s="5" t="s">
        <v>489</v>
      </c>
      <c r="Z79" s="5" t="s">
        <v>522</v>
      </c>
      <c r="AA79" s="5" t="s">
        <v>510</v>
      </c>
      <c r="AB79" s="5" t="s">
        <v>417</v>
      </c>
      <c r="AC79" s="5" t="s">
        <v>427</v>
      </c>
      <c r="AD79" s="18"/>
      <c r="AE79" s="5"/>
    </row>
    <row r="80" spans="1:31" ht="15" customHeight="1" x14ac:dyDescent="0.3">
      <c r="A80" s="5" t="s">
        <v>616</v>
      </c>
      <c r="B80" s="5" t="s">
        <v>439</v>
      </c>
      <c r="C80" s="5" t="s">
        <v>575</v>
      </c>
      <c r="D80" s="5" t="s">
        <v>521</v>
      </c>
      <c r="E80" s="5" t="s">
        <v>432</v>
      </c>
      <c r="F80" s="17">
        <v>500</v>
      </c>
      <c r="G80" s="5" t="s">
        <v>411</v>
      </c>
      <c r="H80" s="18">
        <v>12.75</v>
      </c>
      <c r="I80" s="18">
        <v>11.61</v>
      </c>
      <c r="J80" s="18">
        <v>1.1399999999999999</v>
      </c>
      <c r="K80" s="18">
        <v>7.0000000000000007E-2</v>
      </c>
      <c r="L80" s="18">
        <v>0.39</v>
      </c>
      <c r="M80" s="18">
        <v>0.26</v>
      </c>
      <c r="N80" s="18">
        <v>0.62</v>
      </c>
      <c r="O80" s="18">
        <v>0</v>
      </c>
      <c r="P80" s="18">
        <v>0.01</v>
      </c>
      <c r="Q80" s="18">
        <v>11.15</v>
      </c>
      <c r="R80" s="18">
        <v>10.26</v>
      </c>
      <c r="S80" s="18">
        <v>5.0999999999999996</v>
      </c>
      <c r="T80" s="18">
        <v>5130</v>
      </c>
      <c r="U80" s="18">
        <v>2580</v>
      </c>
      <c r="V80" s="5" t="s">
        <v>412</v>
      </c>
      <c r="W80" s="5" t="s">
        <v>413</v>
      </c>
      <c r="X80" s="5" t="s">
        <v>414</v>
      </c>
      <c r="Y80" s="5" t="s">
        <v>426</v>
      </c>
      <c r="Z80" s="5"/>
      <c r="AA80" s="5"/>
      <c r="AB80" s="5" t="s">
        <v>417</v>
      </c>
      <c r="AC80" s="5" t="s">
        <v>482</v>
      </c>
      <c r="AD80" s="18"/>
      <c r="AE80" s="5"/>
    </row>
    <row r="81" spans="1:31" ht="15" customHeight="1" x14ac:dyDescent="0.3">
      <c r="A81" s="5" t="s">
        <v>617</v>
      </c>
      <c r="B81" s="5" t="s">
        <v>618</v>
      </c>
      <c r="C81" s="5" t="s">
        <v>430</v>
      </c>
      <c r="D81" s="5" t="s">
        <v>422</v>
      </c>
      <c r="E81" s="5" t="s">
        <v>455</v>
      </c>
      <c r="F81" s="17">
        <v>500</v>
      </c>
      <c r="G81" s="5" t="s">
        <v>411</v>
      </c>
      <c r="H81" s="18">
        <v>3.2</v>
      </c>
      <c r="I81" s="18">
        <v>2.93</v>
      </c>
      <c r="J81" s="18">
        <v>0.27</v>
      </c>
      <c r="K81" s="18">
        <v>0.04</v>
      </c>
      <c r="L81" s="18">
        <v>0.03</v>
      </c>
      <c r="M81" s="18">
        <v>0</v>
      </c>
      <c r="N81" s="18">
        <v>0</v>
      </c>
      <c r="O81" s="18">
        <v>0.06</v>
      </c>
      <c r="P81" s="18">
        <v>0.06</v>
      </c>
      <c r="Q81" s="18">
        <v>2.8</v>
      </c>
      <c r="R81" s="18">
        <v>2.74</v>
      </c>
      <c r="S81" s="18">
        <v>1.28</v>
      </c>
      <c r="T81" s="18">
        <v>1370</v>
      </c>
      <c r="U81" s="18">
        <v>730</v>
      </c>
      <c r="V81" s="5" t="s">
        <v>434</v>
      </c>
      <c r="W81" s="5" t="s">
        <v>435</v>
      </c>
      <c r="X81" s="5" t="s">
        <v>414</v>
      </c>
      <c r="Y81" s="5" t="s">
        <v>426</v>
      </c>
      <c r="Z81" s="5"/>
      <c r="AA81" s="5"/>
      <c r="AB81" s="5" t="s">
        <v>417</v>
      </c>
      <c r="AC81" s="5" t="s">
        <v>482</v>
      </c>
      <c r="AD81" s="18">
        <v>3.62</v>
      </c>
      <c r="AE81" s="19">
        <v>9.5000000000000001E-2</v>
      </c>
    </row>
    <row r="82" spans="1:31" ht="15" customHeight="1" x14ac:dyDescent="0.3">
      <c r="A82" s="5" t="s">
        <v>619</v>
      </c>
      <c r="B82" s="5" t="s">
        <v>542</v>
      </c>
      <c r="C82" s="5" t="s">
        <v>474</v>
      </c>
      <c r="D82" s="5" t="s">
        <v>492</v>
      </c>
      <c r="E82" s="5" t="s">
        <v>475</v>
      </c>
      <c r="F82" s="17">
        <v>1000</v>
      </c>
      <c r="G82" s="5" t="s">
        <v>411</v>
      </c>
      <c r="H82" s="18">
        <v>28</v>
      </c>
      <c r="I82" s="18">
        <v>27.74</v>
      </c>
      <c r="J82" s="18">
        <v>0.26</v>
      </c>
      <c r="K82" s="18">
        <v>0.73</v>
      </c>
      <c r="L82" s="18">
        <v>1.67</v>
      </c>
      <c r="M82" s="18">
        <v>0</v>
      </c>
      <c r="N82" s="18">
        <v>0.13</v>
      </c>
      <c r="O82" s="18">
        <v>0</v>
      </c>
      <c r="P82" s="18">
        <v>0</v>
      </c>
      <c r="Q82" s="18">
        <v>25.34</v>
      </c>
      <c r="R82" s="18">
        <v>25.21</v>
      </c>
      <c r="S82" s="18">
        <v>11.2</v>
      </c>
      <c r="T82" s="18">
        <v>25210</v>
      </c>
      <c r="U82" s="18">
        <v>14010</v>
      </c>
      <c r="V82" s="5" t="s">
        <v>434</v>
      </c>
      <c r="W82" s="5" t="s">
        <v>435</v>
      </c>
      <c r="X82" s="5" t="s">
        <v>456</v>
      </c>
      <c r="Y82" s="5" t="s">
        <v>415</v>
      </c>
      <c r="Z82" s="5" t="s">
        <v>461</v>
      </c>
      <c r="AA82" s="5" t="s">
        <v>447</v>
      </c>
      <c r="AB82" s="5" t="s">
        <v>417</v>
      </c>
      <c r="AC82" s="5" t="s">
        <v>418</v>
      </c>
      <c r="AD82" s="18">
        <v>36.369999999999997</v>
      </c>
      <c r="AE82" s="19">
        <v>9.9000000000000005E-2</v>
      </c>
    </row>
    <row r="83" spans="1:31" ht="15" customHeight="1" x14ac:dyDescent="0.3">
      <c r="A83" s="5" t="s">
        <v>620</v>
      </c>
      <c r="B83" s="5" t="s">
        <v>621</v>
      </c>
      <c r="C83" s="5" t="s">
        <v>408</v>
      </c>
      <c r="D83" s="5" t="s">
        <v>451</v>
      </c>
      <c r="E83" s="5" t="s">
        <v>410</v>
      </c>
      <c r="F83" s="17">
        <v>100</v>
      </c>
      <c r="G83" s="5" t="s">
        <v>411</v>
      </c>
      <c r="H83" s="18">
        <v>15.2</v>
      </c>
      <c r="I83" s="18">
        <v>14.88</v>
      </c>
      <c r="J83" s="18">
        <v>0.32</v>
      </c>
      <c r="K83" s="18">
        <v>7.0000000000000007E-2</v>
      </c>
      <c r="L83" s="18">
        <v>0.92</v>
      </c>
      <c r="M83" s="18">
        <v>0</v>
      </c>
      <c r="N83" s="18">
        <v>0.56999999999999995</v>
      </c>
      <c r="O83" s="18">
        <v>0</v>
      </c>
      <c r="P83" s="18">
        <v>0</v>
      </c>
      <c r="Q83" s="18">
        <v>13.89</v>
      </c>
      <c r="R83" s="18">
        <v>13.32</v>
      </c>
      <c r="S83" s="18">
        <v>6.08</v>
      </c>
      <c r="T83" s="18">
        <v>1332</v>
      </c>
      <c r="U83" s="18">
        <v>724</v>
      </c>
      <c r="V83" s="5" t="s">
        <v>412</v>
      </c>
      <c r="W83" s="5" t="s">
        <v>413</v>
      </c>
      <c r="X83" s="5" t="s">
        <v>414</v>
      </c>
      <c r="Y83" s="5" t="s">
        <v>415</v>
      </c>
      <c r="Z83" s="5" t="s">
        <v>486</v>
      </c>
      <c r="AA83" s="5"/>
      <c r="AB83" s="5" t="s">
        <v>417</v>
      </c>
      <c r="AC83" s="5" t="s">
        <v>427</v>
      </c>
      <c r="AD83" s="18"/>
      <c r="AE83" s="5"/>
    </row>
    <row r="84" spans="1:31" ht="15" customHeight="1" x14ac:dyDescent="0.3">
      <c r="A84" s="5" t="s">
        <v>622</v>
      </c>
      <c r="B84" s="5" t="s">
        <v>453</v>
      </c>
      <c r="C84" s="5" t="s">
        <v>575</v>
      </c>
      <c r="D84" s="5" t="s">
        <v>451</v>
      </c>
      <c r="E84" s="5" t="s">
        <v>475</v>
      </c>
      <c r="F84" s="17">
        <v>50</v>
      </c>
      <c r="G84" s="5" t="s">
        <v>411</v>
      </c>
      <c r="H84" s="18">
        <v>15.2</v>
      </c>
      <c r="I84" s="18">
        <v>14.34</v>
      </c>
      <c r="J84" s="18">
        <v>0.86</v>
      </c>
      <c r="K84" s="18">
        <v>0.28999999999999998</v>
      </c>
      <c r="L84" s="18">
        <v>0.97</v>
      </c>
      <c r="M84" s="18">
        <v>0.21</v>
      </c>
      <c r="N84" s="18">
        <v>0</v>
      </c>
      <c r="O84" s="18">
        <v>0</v>
      </c>
      <c r="P84" s="18">
        <v>0</v>
      </c>
      <c r="Q84" s="18">
        <v>13.08</v>
      </c>
      <c r="R84" s="18">
        <v>12.87</v>
      </c>
      <c r="S84" s="18">
        <v>6.08</v>
      </c>
      <c r="T84" s="18">
        <v>643.5</v>
      </c>
      <c r="U84" s="18">
        <v>339.5</v>
      </c>
      <c r="V84" s="5" t="s">
        <v>412</v>
      </c>
      <c r="W84" s="5" t="s">
        <v>413</v>
      </c>
      <c r="X84" s="5" t="s">
        <v>414</v>
      </c>
      <c r="Y84" s="5" t="s">
        <v>489</v>
      </c>
      <c r="Z84" s="5" t="s">
        <v>436</v>
      </c>
      <c r="AA84" s="5" t="s">
        <v>437</v>
      </c>
      <c r="AB84" s="5" t="s">
        <v>417</v>
      </c>
      <c r="AC84" s="5" t="s">
        <v>482</v>
      </c>
      <c r="AD84" s="18"/>
      <c r="AE84" s="5"/>
    </row>
    <row r="85" spans="1:31" ht="15" customHeight="1" x14ac:dyDescent="0.3">
      <c r="A85" s="5" t="s">
        <v>623</v>
      </c>
      <c r="B85" s="5" t="s">
        <v>602</v>
      </c>
      <c r="C85" s="5" t="s">
        <v>430</v>
      </c>
      <c r="D85" s="5" t="s">
        <v>550</v>
      </c>
      <c r="E85" s="5" t="s">
        <v>475</v>
      </c>
      <c r="F85" s="17">
        <v>500</v>
      </c>
      <c r="G85" s="5" t="s">
        <v>411</v>
      </c>
      <c r="H85" s="18">
        <v>35</v>
      </c>
      <c r="I85" s="18">
        <v>32.56</v>
      </c>
      <c r="J85" s="18">
        <v>2.44</v>
      </c>
      <c r="K85" s="18">
        <v>1</v>
      </c>
      <c r="L85" s="18">
        <v>2.0699999999999998</v>
      </c>
      <c r="M85" s="18">
        <v>0</v>
      </c>
      <c r="N85" s="18">
        <v>1.2</v>
      </c>
      <c r="O85" s="18">
        <v>0</v>
      </c>
      <c r="P85" s="18">
        <v>0</v>
      </c>
      <c r="Q85" s="18">
        <v>29.49</v>
      </c>
      <c r="R85" s="18">
        <v>28.29</v>
      </c>
      <c r="S85" s="18">
        <v>14</v>
      </c>
      <c r="T85" s="18">
        <v>14145</v>
      </c>
      <c r="U85" s="18">
        <v>7145</v>
      </c>
      <c r="V85" s="5" t="s">
        <v>434</v>
      </c>
      <c r="W85" s="5" t="s">
        <v>435</v>
      </c>
      <c r="X85" s="5" t="s">
        <v>414</v>
      </c>
      <c r="Y85" s="5" t="s">
        <v>415</v>
      </c>
      <c r="Z85" s="5" t="s">
        <v>469</v>
      </c>
      <c r="AA85" s="5"/>
      <c r="AB85" s="5" t="s">
        <v>417</v>
      </c>
      <c r="AC85" s="5" t="s">
        <v>448</v>
      </c>
      <c r="AD85" s="18">
        <v>42.04</v>
      </c>
      <c r="AE85" s="19">
        <v>8.4000000000000005E-2</v>
      </c>
    </row>
    <row r="86" spans="1:31" ht="15" customHeight="1" x14ac:dyDescent="0.3">
      <c r="A86" s="5" t="s">
        <v>624</v>
      </c>
      <c r="B86" s="5" t="s">
        <v>625</v>
      </c>
      <c r="C86" s="5" t="s">
        <v>575</v>
      </c>
      <c r="D86" s="5" t="s">
        <v>521</v>
      </c>
      <c r="E86" s="5" t="s">
        <v>455</v>
      </c>
      <c r="F86" s="17">
        <v>2500</v>
      </c>
      <c r="G86" s="5" t="s">
        <v>411</v>
      </c>
      <c r="H86" s="18">
        <v>12.75</v>
      </c>
      <c r="I86" s="18">
        <v>12.49</v>
      </c>
      <c r="J86" s="18">
        <v>0.26</v>
      </c>
      <c r="K86" s="18">
        <v>0.09</v>
      </c>
      <c r="L86" s="18">
        <v>0.45</v>
      </c>
      <c r="M86" s="18">
        <v>0.27</v>
      </c>
      <c r="N86" s="18">
        <v>0</v>
      </c>
      <c r="O86" s="18">
        <v>0</v>
      </c>
      <c r="P86" s="18">
        <v>0</v>
      </c>
      <c r="Q86" s="18">
        <v>11.95</v>
      </c>
      <c r="R86" s="18">
        <v>11.68</v>
      </c>
      <c r="S86" s="18">
        <v>5.0999999999999996</v>
      </c>
      <c r="T86" s="18">
        <v>29200</v>
      </c>
      <c r="U86" s="18">
        <v>16450</v>
      </c>
      <c r="V86" s="5" t="s">
        <v>412</v>
      </c>
      <c r="W86" s="5" t="s">
        <v>413</v>
      </c>
      <c r="X86" s="5" t="s">
        <v>414</v>
      </c>
      <c r="Y86" s="5" t="s">
        <v>426</v>
      </c>
      <c r="Z86" s="5"/>
      <c r="AA86" s="5" t="s">
        <v>493</v>
      </c>
      <c r="AB86" s="5" t="s">
        <v>417</v>
      </c>
      <c r="AC86" s="5" t="s">
        <v>482</v>
      </c>
      <c r="AD86" s="18"/>
      <c r="AE86" s="5"/>
    </row>
    <row r="87" spans="1:31" ht="15" customHeight="1" x14ac:dyDescent="0.3">
      <c r="A87" s="5" t="s">
        <v>626</v>
      </c>
      <c r="B87" s="5" t="s">
        <v>627</v>
      </c>
      <c r="C87" s="5" t="s">
        <v>575</v>
      </c>
      <c r="D87" s="5" t="s">
        <v>521</v>
      </c>
      <c r="E87" s="5" t="s">
        <v>410</v>
      </c>
      <c r="F87" s="17">
        <v>50</v>
      </c>
      <c r="G87" s="5" t="s">
        <v>411</v>
      </c>
      <c r="H87" s="18">
        <v>12.75</v>
      </c>
      <c r="I87" s="18">
        <v>11.9</v>
      </c>
      <c r="J87" s="18">
        <v>0.85</v>
      </c>
      <c r="K87" s="18">
        <v>0.15</v>
      </c>
      <c r="L87" s="18">
        <v>0.26</v>
      </c>
      <c r="M87" s="18">
        <v>0.49</v>
      </c>
      <c r="N87" s="18">
        <v>0.12</v>
      </c>
      <c r="O87" s="18">
        <v>0</v>
      </c>
      <c r="P87" s="18">
        <v>0</v>
      </c>
      <c r="Q87" s="18">
        <v>11.49</v>
      </c>
      <c r="R87" s="18">
        <v>10.88</v>
      </c>
      <c r="S87" s="18">
        <v>5.0999999999999996</v>
      </c>
      <c r="T87" s="18">
        <v>544</v>
      </c>
      <c r="U87" s="18">
        <v>289</v>
      </c>
      <c r="V87" s="5" t="s">
        <v>412</v>
      </c>
      <c r="W87" s="5" t="s">
        <v>413</v>
      </c>
      <c r="X87" s="5" t="s">
        <v>414</v>
      </c>
      <c r="Y87" s="5" t="s">
        <v>489</v>
      </c>
      <c r="Z87" s="5" t="s">
        <v>436</v>
      </c>
      <c r="AA87" s="5"/>
      <c r="AB87" s="5" t="s">
        <v>417</v>
      </c>
      <c r="AC87" s="5" t="s">
        <v>448</v>
      </c>
      <c r="AD87" s="18"/>
      <c r="AE87" s="5"/>
    </row>
    <row r="88" spans="1:31" ht="15" customHeight="1" x14ac:dyDescent="0.3">
      <c r="A88" s="5" t="s">
        <v>628</v>
      </c>
      <c r="B88" s="5" t="s">
        <v>629</v>
      </c>
      <c r="C88" s="5" t="s">
        <v>430</v>
      </c>
      <c r="D88" s="5" t="s">
        <v>521</v>
      </c>
      <c r="E88" s="5" t="s">
        <v>410</v>
      </c>
      <c r="F88" s="17">
        <v>1000</v>
      </c>
      <c r="G88" s="5" t="s">
        <v>411</v>
      </c>
      <c r="H88" s="18">
        <v>12.75</v>
      </c>
      <c r="I88" s="18">
        <v>12.17</v>
      </c>
      <c r="J88" s="18">
        <v>0.57999999999999996</v>
      </c>
      <c r="K88" s="18">
        <v>0.3</v>
      </c>
      <c r="L88" s="18">
        <v>0.83</v>
      </c>
      <c r="M88" s="18">
        <v>0.42</v>
      </c>
      <c r="N88" s="18">
        <v>0.52</v>
      </c>
      <c r="O88" s="18">
        <v>0</v>
      </c>
      <c r="P88" s="18">
        <v>0</v>
      </c>
      <c r="Q88" s="18">
        <v>11.04</v>
      </c>
      <c r="R88" s="18">
        <v>10.1</v>
      </c>
      <c r="S88" s="18">
        <v>5.0999999999999996</v>
      </c>
      <c r="T88" s="18">
        <v>10100</v>
      </c>
      <c r="U88" s="18">
        <v>5000</v>
      </c>
      <c r="V88" s="5" t="s">
        <v>434</v>
      </c>
      <c r="W88" s="5" t="s">
        <v>435</v>
      </c>
      <c r="X88" s="5" t="s">
        <v>414</v>
      </c>
      <c r="Y88" s="5" t="s">
        <v>426</v>
      </c>
      <c r="Z88" s="5"/>
      <c r="AA88" s="5"/>
      <c r="AB88" s="5" t="s">
        <v>417</v>
      </c>
      <c r="AC88" s="5" t="s">
        <v>482</v>
      </c>
      <c r="AD88" s="18">
        <v>15.09</v>
      </c>
      <c r="AE88" s="19">
        <v>0.222</v>
      </c>
    </row>
    <row r="89" spans="1:31" ht="15" customHeight="1" x14ac:dyDescent="0.3">
      <c r="A89" s="5" t="s">
        <v>630</v>
      </c>
      <c r="B89" s="5" t="s">
        <v>631</v>
      </c>
      <c r="C89" s="5" t="s">
        <v>479</v>
      </c>
      <c r="D89" s="5" t="s">
        <v>451</v>
      </c>
      <c r="E89" s="5" t="s">
        <v>423</v>
      </c>
      <c r="F89" s="17">
        <v>200</v>
      </c>
      <c r="G89" s="5" t="s">
        <v>411</v>
      </c>
      <c r="H89" s="18">
        <v>15.2</v>
      </c>
      <c r="I89" s="18">
        <v>13.47</v>
      </c>
      <c r="J89" s="18">
        <v>1.73</v>
      </c>
      <c r="K89" s="18">
        <v>0.22</v>
      </c>
      <c r="L89" s="18">
        <v>0.28000000000000003</v>
      </c>
      <c r="M89" s="18">
        <v>0</v>
      </c>
      <c r="N89" s="18">
        <v>0</v>
      </c>
      <c r="O89" s="18">
        <v>0.05</v>
      </c>
      <c r="P89" s="18">
        <v>0</v>
      </c>
      <c r="Q89" s="18">
        <v>12.92</v>
      </c>
      <c r="R89" s="18">
        <v>12.92</v>
      </c>
      <c r="S89" s="18">
        <v>6.08</v>
      </c>
      <c r="T89" s="18">
        <v>2584</v>
      </c>
      <c r="U89" s="18">
        <v>1368</v>
      </c>
      <c r="V89" s="5" t="s">
        <v>444</v>
      </c>
      <c r="W89" s="5" t="s">
        <v>424</v>
      </c>
      <c r="X89" s="5" t="s">
        <v>445</v>
      </c>
      <c r="Y89" s="5" t="s">
        <v>415</v>
      </c>
      <c r="Z89" s="5" t="s">
        <v>461</v>
      </c>
      <c r="AA89" s="5"/>
      <c r="AB89" s="5" t="s">
        <v>417</v>
      </c>
      <c r="AC89" s="5" t="s">
        <v>418</v>
      </c>
      <c r="AD89" s="18">
        <v>19.27</v>
      </c>
      <c r="AE89" s="19">
        <v>0.13100000000000001</v>
      </c>
    </row>
    <row r="90" spans="1:31" ht="15" customHeight="1" x14ac:dyDescent="0.3">
      <c r="A90" s="5" t="s">
        <v>632</v>
      </c>
      <c r="B90" s="5" t="s">
        <v>633</v>
      </c>
      <c r="C90" s="5" t="s">
        <v>474</v>
      </c>
      <c r="D90" s="5" t="s">
        <v>451</v>
      </c>
      <c r="E90" s="5" t="s">
        <v>423</v>
      </c>
      <c r="F90" s="17">
        <v>100</v>
      </c>
      <c r="G90" s="5" t="s">
        <v>411</v>
      </c>
      <c r="H90" s="18">
        <v>15.2</v>
      </c>
      <c r="I90" s="18">
        <v>13.68</v>
      </c>
      <c r="J90" s="18">
        <v>1.52</v>
      </c>
      <c r="K90" s="18">
        <v>0.35</v>
      </c>
      <c r="L90" s="18">
        <v>0.98</v>
      </c>
      <c r="M90" s="18">
        <v>0</v>
      </c>
      <c r="N90" s="18">
        <v>0</v>
      </c>
      <c r="O90" s="18">
        <v>0</v>
      </c>
      <c r="P90" s="18">
        <v>0</v>
      </c>
      <c r="Q90" s="18">
        <v>12.35</v>
      </c>
      <c r="R90" s="18">
        <v>12.35</v>
      </c>
      <c r="S90" s="18">
        <v>6.08</v>
      </c>
      <c r="T90" s="18">
        <v>1235</v>
      </c>
      <c r="U90" s="18">
        <v>627</v>
      </c>
      <c r="V90" s="5" t="s">
        <v>434</v>
      </c>
      <c r="W90" s="5" t="s">
        <v>435</v>
      </c>
      <c r="X90" s="5" t="s">
        <v>456</v>
      </c>
      <c r="Y90" s="5" t="s">
        <v>415</v>
      </c>
      <c r="Z90" s="5" t="s">
        <v>496</v>
      </c>
      <c r="AA90" s="5" t="s">
        <v>493</v>
      </c>
      <c r="AB90" s="5" t="s">
        <v>417</v>
      </c>
      <c r="AC90" s="5" t="s">
        <v>448</v>
      </c>
      <c r="AD90" s="18">
        <v>16.36</v>
      </c>
      <c r="AE90" s="19">
        <v>0.13700000000000001</v>
      </c>
    </row>
    <row r="91" spans="1:31" ht="15" customHeight="1" x14ac:dyDescent="0.3">
      <c r="A91" s="5" t="s">
        <v>634</v>
      </c>
      <c r="B91" s="5" t="s">
        <v>635</v>
      </c>
      <c r="C91" s="5" t="s">
        <v>421</v>
      </c>
      <c r="D91" s="5" t="s">
        <v>440</v>
      </c>
      <c r="E91" s="5" t="s">
        <v>410</v>
      </c>
      <c r="F91" s="17">
        <v>5000</v>
      </c>
      <c r="G91" s="5" t="s">
        <v>411</v>
      </c>
      <c r="H91" s="18">
        <v>0.45</v>
      </c>
      <c r="I91" s="18">
        <v>0.41</v>
      </c>
      <c r="J91" s="18">
        <v>0.04</v>
      </c>
      <c r="K91" s="18">
        <v>0.01</v>
      </c>
      <c r="L91" s="18">
        <v>0.01</v>
      </c>
      <c r="M91" s="18">
        <v>0.01</v>
      </c>
      <c r="N91" s="18">
        <v>0</v>
      </c>
      <c r="O91" s="18">
        <v>0.01</v>
      </c>
      <c r="P91" s="18">
        <v>0</v>
      </c>
      <c r="Q91" s="18">
        <v>0.38</v>
      </c>
      <c r="R91" s="18">
        <v>0.37</v>
      </c>
      <c r="S91" s="18">
        <v>0.18</v>
      </c>
      <c r="T91" s="18">
        <v>1850</v>
      </c>
      <c r="U91" s="18">
        <v>950</v>
      </c>
      <c r="V91" s="5" t="s">
        <v>412</v>
      </c>
      <c r="W91" s="5" t="s">
        <v>424</v>
      </c>
      <c r="X91" s="5" t="s">
        <v>425</v>
      </c>
      <c r="Y91" s="5" t="s">
        <v>426</v>
      </c>
      <c r="Z91" s="5"/>
      <c r="AA91" s="5" t="s">
        <v>510</v>
      </c>
      <c r="AB91" s="5" t="s">
        <v>417</v>
      </c>
      <c r="AC91" s="5" t="s">
        <v>418</v>
      </c>
      <c r="AD91" s="18">
        <v>0.5</v>
      </c>
      <c r="AE91" s="19">
        <v>8.6999999999999994E-2</v>
      </c>
    </row>
    <row r="92" spans="1:31" ht="15" customHeight="1" x14ac:dyDescent="0.3">
      <c r="A92" s="5" t="s">
        <v>636</v>
      </c>
      <c r="B92" s="5" t="s">
        <v>637</v>
      </c>
      <c r="C92" s="5" t="s">
        <v>485</v>
      </c>
      <c r="D92" s="5" t="s">
        <v>460</v>
      </c>
      <c r="E92" s="5" t="s">
        <v>410</v>
      </c>
      <c r="F92" s="17">
        <v>1000</v>
      </c>
      <c r="G92" s="5" t="s">
        <v>411</v>
      </c>
      <c r="H92" s="18">
        <v>22.5</v>
      </c>
      <c r="I92" s="18">
        <v>19.98</v>
      </c>
      <c r="J92" s="18">
        <v>2.52</v>
      </c>
      <c r="K92" s="18">
        <v>0.48</v>
      </c>
      <c r="L92" s="18">
        <v>0.93</v>
      </c>
      <c r="M92" s="18">
        <v>0</v>
      </c>
      <c r="N92" s="18">
        <v>0</v>
      </c>
      <c r="O92" s="18">
        <v>0</v>
      </c>
      <c r="P92" s="18">
        <v>0</v>
      </c>
      <c r="Q92" s="18">
        <v>18.57</v>
      </c>
      <c r="R92" s="18">
        <v>18.57</v>
      </c>
      <c r="S92" s="18">
        <v>9</v>
      </c>
      <c r="T92" s="18">
        <v>18570</v>
      </c>
      <c r="U92" s="18">
        <v>9570</v>
      </c>
      <c r="V92" s="5" t="s">
        <v>444</v>
      </c>
      <c r="W92" s="5" t="s">
        <v>413</v>
      </c>
      <c r="X92" s="5" t="s">
        <v>456</v>
      </c>
      <c r="Y92" s="5" t="s">
        <v>415</v>
      </c>
      <c r="Z92" s="5" t="s">
        <v>638</v>
      </c>
      <c r="AA92" s="5"/>
      <c r="AB92" s="5" t="s">
        <v>417</v>
      </c>
      <c r="AC92" s="5" t="s">
        <v>482</v>
      </c>
      <c r="AD92" s="18"/>
      <c r="AE92" s="5"/>
    </row>
    <row r="93" spans="1:31" ht="15" customHeight="1" x14ac:dyDescent="0.3">
      <c r="A93" s="5" t="s">
        <v>639</v>
      </c>
      <c r="B93" s="5" t="s">
        <v>640</v>
      </c>
      <c r="C93" s="5" t="s">
        <v>443</v>
      </c>
      <c r="D93" s="5" t="s">
        <v>507</v>
      </c>
      <c r="E93" s="5" t="s">
        <v>432</v>
      </c>
      <c r="F93" s="17">
        <v>500</v>
      </c>
      <c r="G93" s="5" t="s">
        <v>433</v>
      </c>
      <c r="H93" s="18">
        <v>8.9</v>
      </c>
      <c r="I93" s="18">
        <v>8.84</v>
      </c>
      <c r="J93" s="18">
        <v>0.06</v>
      </c>
      <c r="K93" s="18">
        <v>0.13</v>
      </c>
      <c r="L93" s="18">
        <v>0.17</v>
      </c>
      <c r="M93" s="18">
        <v>0.13</v>
      </c>
      <c r="N93" s="18">
        <v>0</v>
      </c>
      <c r="O93" s="18">
        <v>0.22</v>
      </c>
      <c r="P93" s="18">
        <v>0</v>
      </c>
      <c r="Q93" s="18">
        <v>8.32</v>
      </c>
      <c r="R93" s="18">
        <v>8.19</v>
      </c>
      <c r="S93" s="18">
        <v>3.56</v>
      </c>
      <c r="T93" s="18">
        <v>4095</v>
      </c>
      <c r="U93" s="18">
        <v>2315</v>
      </c>
      <c r="V93" s="5" t="s">
        <v>444</v>
      </c>
      <c r="W93" s="5" t="s">
        <v>413</v>
      </c>
      <c r="X93" s="5" t="s">
        <v>445</v>
      </c>
      <c r="Y93" s="5" t="s">
        <v>415</v>
      </c>
      <c r="Z93" s="5" t="s">
        <v>496</v>
      </c>
      <c r="AA93" s="5"/>
      <c r="AB93" s="5" t="s">
        <v>417</v>
      </c>
      <c r="AC93" s="5" t="s">
        <v>448</v>
      </c>
      <c r="AD93" s="18"/>
      <c r="AE93" s="5"/>
    </row>
    <row r="94" spans="1:31" ht="15" customHeight="1" x14ac:dyDescent="0.3">
      <c r="A94" s="5" t="s">
        <v>641</v>
      </c>
      <c r="B94" s="5" t="s">
        <v>642</v>
      </c>
      <c r="C94" s="5" t="s">
        <v>454</v>
      </c>
      <c r="D94" s="5" t="s">
        <v>460</v>
      </c>
      <c r="E94" s="5" t="s">
        <v>475</v>
      </c>
      <c r="F94" s="17">
        <v>1000</v>
      </c>
      <c r="G94" s="5" t="s">
        <v>411</v>
      </c>
      <c r="H94" s="18">
        <v>22.5</v>
      </c>
      <c r="I94" s="18">
        <v>22.49</v>
      </c>
      <c r="J94" s="18">
        <v>0.01</v>
      </c>
      <c r="K94" s="18">
        <v>0.05</v>
      </c>
      <c r="L94" s="18">
        <v>0.46</v>
      </c>
      <c r="M94" s="18">
        <v>0.49</v>
      </c>
      <c r="N94" s="18">
        <v>0.71</v>
      </c>
      <c r="O94" s="18">
        <v>0</v>
      </c>
      <c r="P94" s="18">
        <v>0</v>
      </c>
      <c r="Q94" s="18">
        <v>21.98</v>
      </c>
      <c r="R94" s="18">
        <v>20.78</v>
      </c>
      <c r="S94" s="18">
        <v>9</v>
      </c>
      <c r="T94" s="18">
        <v>20780</v>
      </c>
      <c r="U94" s="18">
        <v>11780</v>
      </c>
      <c r="V94" s="5" t="s">
        <v>444</v>
      </c>
      <c r="W94" s="5" t="s">
        <v>413</v>
      </c>
      <c r="X94" s="5" t="s">
        <v>456</v>
      </c>
      <c r="Y94" s="5" t="s">
        <v>489</v>
      </c>
      <c r="Z94" s="5" t="s">
        <v>446</v>
      </c>
      <c r="AA94" s="5"/>
      <c r="AB94" s="5" t="s">
        <v>417</v>
      </c>
      <c r="AC94" s="5" t="s">
        <v>448</v>
      </c>
      <c r="AD94" s="18"/>
      <c r="AE94" s="5"/>
    </row>
    <row r="95" spans="1:31" ht="15" customHeight="1" x14ac:dyDescent="0.3">
      <c r="A95" s="5" t="s">
        <v>643</v>
      </c>
      <c r="B95" s="5" t="s">
        <v>407</v>
      </c>
      <c r="C95" s="5" t="s">
        <v>430</v>
      </c>
      <c r="D95" s="5" t="s">
        <v>460</v>
      </c>
      <c r="E95" s="5" t="s">
        <v>432</v>
      </c>
      <c r="F95" s="17">
        <v>50</v>
      </c>
      <c r="G95" s="5" t="s">
        <v>411</v>
      </c>
      <c r="H95" s="18">
        <v>22.5</v>
      </c>
      <c r="I95" s="18">
        <v>20.239999999999998</v>
      </c>
      <c r="J95" s="18">
        <v>2.2599999999999998</v>
      </c>
      <c r="K95" s="18">
        <v>0.34</v>
      </c>
      <c r="L95" s="18">
        <v>0.96</v>
      </c>
      <c r="M95" s="18">
        <v>0.52</v>
      </c>
      <c r="N95" s="18">
        <v>0.39</v>
      </c>
      <c r="O95" s="18">
        <v>0</v>
      </c>
      <c r="P95" s="18">
        <v>0</v>
      </c>
      <c r="Q95" s="18">
        <v>18.940000000000001</v>
      </c>
      <c r="R95" s="18">
        <v>18.03</v>
      </c>
      <c r="S95" s="18">
        <v>9</v>
      </c>
      <c r="T95" s="18">
        <v>901.5</v>
      </c>
      <c r="U95" s="18">
        <v>451.5</v>
      </c>
      <c r="V95" s="5" t="s">
        <v>434</v>
      </c>
      <c r="W95" s="5" t="s">
        <v>435</v>
      </c>
      <c r="X95" s="5" t="s">
        <v>414</v>
      </c>
      <c r="Y95" s="5" t="s">
        <v>415</v>
      </c>
      <c r="Z95" s="5" t="s">
        <v>436</v>
      </c>
      <c r="AA95" s="5"/>
      <c r="AB95" s="5" t="s">
        <v>417</v>
      </c>
      <c r="AC95" s="5" t="s">
        <v>482</v>
      </c>
      <c r="AD95" s="18">
        <v>27.99</v>
      </c>
      <c r="AE95" s="19">
        <v>0.19</v>
      </c>
    </row>
    <row r="96" spans="1:31" ht="15" customHeight="1" x14ac:dyDescent="0.3">
      <c r="A96" s="5" t="s">
        <v>644</v>
      </c>
      <c r="B96" s="5" t="s">
        <v>645</v>
      </c>
      <c r="C96" s="5" t="s">
        <v>575</v>
      </c>
      <c r="D96" s="5" t="s">
        <v>521</v>
      </c>
      <c r="E96" s="5" t="s">
        <v>455</v>
      </c>
      <c r="F96" s="17">
        <v>1000</v>
      </c>
      <c r="G96" s="5" t="s">
        <v>411</v>
      </c>
      <c r="H96" s="18">
        <v>12.75</v>
      </c>
      <c r="I96" s="18">
        <v>11.97</v>
      </c>
      <c r="J96" s="18">
        <v>0.78</v>
      </c>
      <c r="K96" s="18">
        <v>0.38</v>
      </c>
      <c r="L96" s="18">
        <v>0.56999999999999995</v>
      </c>
      <c r="M96" s="18">
        <v>0</v>
      </c>
      <c r="N96" s="18">
        <v>0</v>
      </c>
      <c r="O96" s="18">
        <v>0</v>
      </c>
      <c r="P96" s="18">
        <v>0.06</v>
      </c>
      <c r="Q96" s="18">
        <v>11.02</v>
      </c>
      <c r="R96" s="18">
        <v>10.96</v>
      </c>
      <c r="S96" s="18">
        <v>5.0999999999999996</v>
      </c>
      <c r="T96" s="18">
        <v>10960</v>
      </c>
      <c r="U96" s="18">
        <v>5860</v>
      </c>
      <c r="V96" s="5" t="s">
        <v>412</v>
      </c>
      <c r="W96" s="5" t="s">
        <v>413</v>
      </c>
      <c r="X96" s="5" t="s">
        <v>414</v>
      </c>
      <c r="Y96" s="5" t="s">
        <v>426</v>
      </c>
      <c r="Z96" s="5"/>
      <c r="AA96" s="5"/>
      <c r="AB96" s="5" t="s">
        <v>417</v>
      </c>
      <c r="AC96" s="5" t="s">
        <v>482</v>
      </c>
      <c r="AD96" s="18"/>
      <c r="AE96" s="5"/>
    </row>
    <row r="97" spans="1:31" ht="15" customHeight="1" x14ac:dyDescent="0.3">
      <c r="A97" s="5" t="s">
        <v>646</v>
      </c>
      <c r="B97" s="5" t="s">
        <v>647</v>
      </c>
      <c r="C97" s="5" t="s">
        <v>531</v>
      </c>
      <c r="D97" s="5" t="s">
        <v>521</v>
      </c>
      <c r="E97" s="5" t="s">
        <v>455</v>
      </c>
      <c r="F97" s="17">
        <v>2500</v>
      </c>
      <c r="G97" s="5" t="s">
        <v>411</v>
      </c>
      <c r="H97" s="18">
        <v>12.75</v>
      </c>
      <c r="I97" s="18">
        <v>11.59</v>
      </c>
      <c r="J97" s="18">
        <v>1.1599999999999999</v>
      </c>
      <c r="K97" s="18">
        <v>0.05</v>
      </c>
      <c r="L97" s="18">
        <v>0.36</v>
      </c>
      <c r="M97" s="18">
        <v>0</v>
      </c>
      <c r="N97" s="18">
        <v>0.64</v>
      </c>
      <c r="O97" s="18">
        <v>0</v>
      </c>
      <c r="P97" s="18">
        <v>0.12</v>
      </c>
      <c r="Q97" s="18">
        <v>11.18</v>
      </c>
      <c r="R97" s="18">
        <v>10.42</v>
      </c>
      <c r="S97" s="18">
        <v>5.0999999999999996</v>
      </c>
      <c r="T97" s="18">
        <v>26050</v>
      </c>
      <c r="U97" s="18">
        <v>13300</v>
      </c>
      <c r="V97" s="5" t="s">
        <v>434</v>
      </c>
      <c r="W97" s="5" t="s">
        <v>435</v>
      </c>
      <c r="X97" s="5" t="s">
        <v>425</v>
      </c>
      <c r="Y97" s="5" t="s">
        <v>415</v>
      </c>
      <c r="Z97" s="5" t="s">
        <v>547</v>
      </c>
      <c r="AA97" s="5" t="s">
        <v>437</v>
      </c>
      <c r="AB97" s="5" t="s">
        <v>417</v>
      </c>
      <c r="AC97" s="5" t="s">
        <v>448</v>
      </c>
      <c r="AD97" s="18">
        <v>13.6</v>
      </c>
      <c r="AE97" s="19">
        <v>0.123</v>
      </c>
    </row>
    <row r="98" spans="1:31" ht="15" customHeight="1" x14ac:dyDescent="0.3">
      <c r="A98" s="5" t="s">
        <v>648</v>
      </c>
      <c r="B98" s="5" t="s">
        <v>649</v>
      </c>
      <c r="C98" s="5" t="s">
        <v>479</v>
      </c>
      <c r="D98" s="5" t="s">
        <v>440</v>
      </c>
      <c r="E98" s="5" t="s">
        <v>432</v>
      </c>
      <c r="F98" s="17">
        <v>5000</v>
      </c>
      <c r="G98" s="5" t="s">
        <v>411</v>
      </c>
      <c r="H98" s="18">
        <v>0.45</v>
      </c>
      <c r="I98" s="18">
        <v>0.44</v>
      </c>
      <c r="J98" s="18">
        <v>0.01</v>
      </c>
      <c r="K98" s="18">
        <v>0</v>
      </c>
      <c r="L98" s="18">
        <v>0.03</v>
      </c>
      <c r="M98" s="18">
        <v>0.02</v>
      </c>
      <c r="N98" s="18">
        <v>0</v>
      </c>
      <c r="O98" s="18">
        <v>0</v>
      </c>
      <c r="P98" s="18">
        <v>0</v>
      </c>
      <c r="Q98" s="18">
        <v>0.41</v>
      </c>
      <c r="R98" s="18">
        <v>0.39</v>
      </c>
      <c r="S98" s="18">
        <v>0.18</v>
      </c>
      <c r="T98" s="18">
        <v>1950</v>
      </c>
      <c r="U98" s="18">
        <v>1050</v>
      </c>
      <c r="V98" s="5" t="s">
        <v>444</v>
      </c>
      <c r="W98" s="5" t="s">
        <v>424</v>
      </c>
      <c r="X98" s="5" t="s">
        <v>445</v>
      </c>
      <c r="Y98" s="5" t="s">
        <v>415</v>
      </c>
      <c r="Z98" s="5" t="s">
        <v>499</v>
      </c>
      <c r="AA98" s="5"/>
      <c r="AB98" s="5" t="s">
        <v>417</v>
      </c>
      <c r="AC98" s="5" t="s">
        <v>482</v>
      </c>
      <c r="AD98" s="18">
        <v>0.57999999999999996</v>
      </c>
      <c r="AE98" s="19">
        <v>0.17199999999999999</v>
      </c>
    </row>
    <row r="99" spans="1:31" ht="15" customHeight="1" x14ac:dyDescent="0.3">
      <c r="A99" s="5" t="s">
        <v>650</v>
      </c>
      <c r="B99" s="5" t="s">
        <v>651</v>
      </c>
      <c r="C99" s="5" t="s">
        <v>575</v>
      </c>
      <c r="D99" s="5" t="s">
        <v>431</v>
      </c>
      <c r="E99" s="5" t="s">
        <v>432</v>
      </c>
      <c r="F99" s="17">
        <v>5000</v>
      </c>
      <c r="G99" s="5" t="s">
        <v>433</v>
      </c>
      <c r="H99" s="18">
        <v>42</v>
      </c>
      <c r="I99" s="18">
        <v>40.15</v>
      </c>
      <c r="J99" s="18">
        <v>1.85</v>
      </c>
      <c r="K99" s="18">
        <v>1.1200000000000001</v>
      </c>
      <c r="L99" s="18">
        <v>2.5</v>
      </c>
      <c r="M99" s="18">
        <v>0.65</v>
      </c>
      <c r="N99" s="18">
        <v>1.25</v>
      </c>
      <c r="O99" s="18">
        <v>0</v>
      </c>
      <c r="P99" s="18">
        <v>0.44</v>
      </c>
      <c r="Q99" s="18">
        <v>36.53</v>
      </c>
      <c r="R99" s="18">
        <v>34.19</v>
      </c>
      <c r="S99" s="18">
        <v>16.8</v>
      </c>
      <c r="T99" s="18">
        <v>170950</v>
      </c>
      <c r="U99" s="18">
        <v>86950</v>
      </c>
      <c r="V99" s="5" t="s">
        <v>412</v>
      </c>
      <c r="W99" s="5" t="s">
        <v>413</v>
      </c>
      <c r="X99" s="5" t="s">
        <v>414</v>
      </c>
      <c r="Y99" s="5" t="s">
        <v>426</v>
      </c>
      <c r="Z99" s="5"/>
      <c r="AA99" s="5" t="s">
        <v>437</v>
      </c>
      <c r="AB99" s="5" t="s">
        <v>417</v>
      </c>
      <c r="AC99" s="5" t="s">
        <v>448</v>
      </c>
      <c r="AD99" s="18"/>
      <c r="AE99" s="5"/>
    </row>
    <row r="100" spans="1:31" ht="15" customHeight="1" x14ac:dyDescent="0.3">
      <c r="A100" s="5" t="s">
        <v>652</v>
      </c>
      <c r="B100" s="5" t="s">
        <v>653</v>
      </c>
      <c r="C100" s="5" t="s">
        <v>454</v>
      </c>
      <c r="D100" s="5" t="s">
        <v>550</v>
      </c>
      <c r="E100" s="5" t="s">
        <v>410</v>
      </c>
      <c r="F100" s="17">
        <v>200</v>
      </c>
      <c r="G100" s="5" t="s">
        <v>411</v>
      </c>
      <c r="H100" s="18">
        <v>35</v>
      </c>
      <c r="I100" s="18">
        <v>34.57</v>
      </c>
      <c r="J100" s="18">
        <v>0.43</v>
      </c>
      <c r="K100" s="18">
        <v>0.34</v>
      </c>
      <c r="L100" s="18">
        <v>0.83</v>
      </c>
      <c r="M100" s="18">
        <v>1</v>
      </c>
      <c r="N100" s="18">
        <v>0</v>
      </c>
      <c r="O100" s="18">
        <v>0</v>
      </c>
      <c r="P100" s="18">
        <v>0</v>
      </c>
      <c r="Q100" s="18">
        <v>33.4</v>
      </c>
      <c r="R100" s="18">
        <v>32.4</v>
      </c>
      <c r="S100" s="18">
        <v>14</v>
      </c>
      <c r="T100" s="18">
        <v>6480</v>
      </c>
      <c r="U100" s="18">
        <v>3680</v>
      </c>
      <c r="V100" s="5" t="s">
        <v>444</v>
      </c>
      <c r="W100" s="5" t="s">
        <v>413</v>
      </c>
      <c r="X100" s="5" t="s">
        <v>456</v>
      </c>
      <c r="Y100" s="5" t="s">
        <v>489</v>
      </c>
      <c r="Z100" s="5" t="s">
        <v>638</v>
      </c>
      <c r="AA100" s="5"/>
      <c r="AB100" s="5" t="s">
        <v>417</v>
      </c>
      <c r="AC100" s="5" t="s">
        <v>427</v>
      </c>
      <c r="AD100" s="18"/>
      <c r="AE100" s="5"/>
    </row>
    <row r="101" spans="1:31" ht="15" customHeight="1" x14ac:dyDescent="0.3">
      <c r="A101" s="5" t="s">
        <v>654</v>
      </c>
      <c r="B101" s="5" t="s">
        <v>407</v>
      </c>
      <c r="C101" s="5" t="s">
        <v>485</v>
      </c>
      <c r="D101" s="5" t="s">
        <v>521</v>
      </c>
      <c r="E101" s="5" t="s">
        <v>475</v>
      </c>
      <c r="F101" s="17">
        <v>200</v>
      </c>
      <c r="G101" s="5" t="s">
        <v>411</v>
      </c>
      <c r="H101" s="18">
        <v>12.75</v>
      </c>
      <c r="I101" s="18">
        <v>11.96</v>
      </c>
      <c r="J101" s="18">
        <v>0.79</v>
      </c>
      <c r="K101" s="18">
        <v>0.28999999999999998</v>
      </c>
      <c r="L101" s="18">
        <v>0.16</v>
      </c>
      <c r="M101" s="18">
        <v>0</v>
      </c>
      <c r="N101" s="18">
        <v>0.52</v>
      </c>
      <c r="O101" s="18">
        <v>0</v>
      </c>
      <c r="P101" s="18">
        <v>0</v>
      </c>
      <c r="Q101" s="18">
        <v>11.51</v>
      </c>
      <c r="R101" s="18">
        <v>10.99</v>
      </c>
      <c r="S101" s="18">
        <v>5.0999999999999996</v>
      </c>
      <c r="T101" s="18">
        <v>2198</v>
      </c>
      <c r="U101" s="18">
        <v>1178</v>
      </c>
      <c r="V101" s="5" t="s">
        <v>444</v>
      </c>
      <c r="W101" s="5" t="s">
        <v>413</v>
      </c>
      <c r="X101" s="5" t="s">
        <v>456</v>
      </c>
      <c r="Y101" s="5" t="s">
        <v>415</v>
      </c>
      <c r="Z101" s="5" t="s">
        <v>461</v>
      </c>
      <c r="AA101" s="5" t="s">
        <v>447</v>
      </c>
      <c r="AB101" s="5" t="s">
        <v>417</v>
      </c>
      <c r="AC101" s="5" t="s">
        <v>448</v>
      </c>
      <c r="AD101" s="18"/>
      <c r="AE101" s="5"/>
    </row>
    <row r="102" spans="1:31" ht="15" customHeight="1" x14ac:dyDescent="0.3">
      <c r="A102" s="5" t="s">
        <v>655</v>
      </c>
      <c r="B102" s="5" t="s">
        <v>656</v>
      </c>
      <c r="C102" s="5" t="s">
        <v>485</v>
      </c>
      <c r="D102" s="5" t="s">
        <v>492</v>
      </c>
      <c r="E102" s="5" t="s">
        <v>423</v>
      </c>
      <c r="F102" s="17">
        <v>2500</v>
      </c>
      <c r="G102" s="5" t="s">
        <v>411</v>
      </c>
      <c r="H102" s="18">
        <v>28</v>
      </c>
      <c r="I102" s="18">
        <v>26.49</v>
      </c>
      <c r="J102" s="18">
        <v>1.51</v>
      </c>
      <c r="K102" s="18">
        <v>0.31</v>
      </c>
      <c r="L102" s="18">
        <v>0.99</v>
      </c>
      <c r="M102" s="18">
        <v>0</v>
      </c>
      <c r="N102" s="18">
        <v>0</v>
      </c>
      <c r="O102" s="18">
        <v>0</v>
      </c>
      <c r="P102" s="18">
        <v>0</v>
      </c>
      <c r="Q102" s="18">
        <v>25.19</v>
      </c>
      <c r="R102" s="18">
        <v>25.19</v>
      </c>
      <c r="S102" s="18">
        <v>11.2</v>
      </c>
      <c r="T102" s="18">
        <v>62975</v>
      </c>
      <c r="U102" s="18">
        <v>34975</v>
      </c>
      <c r="V102" s="5" t="s">
        <v>444</v>
      </c>
      <c r="W102" s="5" t="s">
        <v>413</v>
      </c>
      <c r="X102" s="5" t="s">
        <v>456</v>
      </c>
      <c r="Y102" s="5" t="s">
        <v>489</v>
      </c>
      <c r="Z102" s="5" t="s">
        <v>457</v>
      </c>
      <c r="AA102" s="5"/>
      <c r="AB102" s="5" t="s">
        <v>417</v>
      </c>
      <c r="AC102" s="5" t="s">
        <v>482</v>
      </c>
      <c r="AD102" s="18"/>
      <c r="AE102" s="5"/>
    </row>
    <row r="103" spans="1:31" ht="15" customHeight="1" x14ac:dyDescent="0.3">
      <c r="A103" s="5" t="s">
        <v>657</v>
      </c>
      <c r="B103" s="5" t="s">
        <v>658</v>
      </c>
      <c r="C103" s="5" t="s">
        <v>443</v>
      </c>
      <c r="D103" s="5" t="s">
        <v>550</v>
      </c>
      <c r="E103" s="5" t="s">
        <v>475</v>
      </c>
      <c r="F103" s="17">
        <v>1000</v>
      </c>
      <c r="G103" s="5" t="s">
        <v>411</v>
      </c>
      <c r="H103" s="18">
        <v>35</v>
      </c>
      <c r="I103" s="18">
        <v>34.51</v>
      </c>
      <c r="J103" s="18">
        <v>0.49</v>
      </c>
      <c r="K103" s="18">
        <v>0.81</v>
      </c>
      <c r="L103" s="18">
        <v>1.97</v>
      </c>
      <c r="M103" s="18">
        <v>0</v>
      </c>
      <c r="N103" s="18">
        <v>1.46</v>
      </c>
      <c r="O103" s="18">
        <v>0.21</v>
      </c>
      <c r="P103" s="18">
        <v>0</v>
      </c>
      <c r="Q103" s="18">
        <v>31.52</v>
      </c>
      <c r="R103" s="18">
        <v>30.06</v>
      </c>
      <c r="S103" s="18">
        <v>14</v>
      </c>
      <c r="T103" s="18">
        <v>30060</v>
      </c>
      <c r="U103" s="18">
        <v>16060</v>
      </c>
      <c r="V103" s="5" t="s">
        <v>444</v>
      </c>
      <c r="W103" s="5" t="s">
        <v>413</v>
      </c>
      <c r="X103" s="5" t="s">
        <v>445</v>
      </c>
      <c r="Y103" s="5" t="s">
        <v>426</v>
      </c>
      <c r="Z103" s="5"/>
      <c r="AA103" s="5"/>
      <c r="AB103" s="5" t="s">
        <v>417</v>
      </c>
      <c r="AC103" s="5" t="s">
        <v>448</v>
      </c>
      <c r="AD103" s="18"/>
      <c r="AE103" s="5"/>
    </row>
    <row r="104" spans="1:31" ht="15" customHeight="1" x14ac:dyDescent="0.3">
      <c r="A104" s="5" t="s">
        <v>659</v>
      </c>
      <c r="B104" s="5" t="s">
        <v>660</v>
      </c>
      <c r="C104" s="5" t="s">
        <v>575</v>
      </c>
      <c r="D104" s="5" t="s">
        <v>507</v>
      </c>
      <c r="E104" s="5" t="s">
        <v>432</v>
      </c>
      <c r="F104" s="17">
        <v>1000</v>
      </c>
      <c r="G104" s="5" t="s">
        <v>433</v>
      </c>
      <c r="H104" s="18">
        <v>8.9</v>
      </c>
      <c r="I104" s="18">
        <v>8.32</v>
      </c>
      <c r="J104" s="18">
        <v>0.57999999999999996</v>
      </c>
      <c r="K104" s="18">
        <v>0.24</v>
      </c>
      <c r="L104" s="18">
        <v>0.61</v>
      </c>
      <c r="M104" s="18">
        <v>0.33</v>
      </c>
      <c r="N104" s="18">
        <v>0.42</v>
      </c>
      <c r="O104" s="18">
        <v>0</v>
      </c>
      <c r="P104" s="18">
        <v>0</v>
      </c>
      <c r="Q104" s="18">
        <v>7.47</v>
      </c>
      <c r="R104" s="18">
        <v>6.72</v>
      </c>
      <c r="S104" s="18">
        <v>3.56</v>
      </c>
      <c r="T104" s="18">
        <v>6720</v>
      </c>
      <c r="U104" s="18">
        <v>3160</v>
      </c>
      <c r="V104" s="5" t="s">
        <v>412</v>
      </c>
      <c r="W104" s="5" t="s">
        <v>413</v>
      </c>
      <c r="X104" s="5" t="s">
        <v>414</v>
      </c>
      <c r="Y104" s="5" t="s">
        <v>415</v>
      </c>
      <c r="Z104" s="5" t="s">
        <v>522</v>
      </c>
      <c r="AA104" s="5" t="s">
        <v>510</v>
      </c>
      <c r="AB104" s="5" t="s">
        <v>417</v>
      </c>
      <c r="AC104" s="5" t="s">
        <v>448</v>
      </c>
      <c r="AD104" s="18"/>
      <c r="AE104" s="5"/>
    </row>
    <row r="105" spans="1:31" ht="15" customHeight="1" x14ac:dyDescent="0.3">
      <c r="A105" s="5" t="s">
        <v>661</v>
      </c>
      <c r="B105" s="5" t="s">
        <v>562</v>
      </c>
      <c r="C105" s="5" t="s">
        <v>575</v>
      </c>
      <c r="D105" s="5" t="s">
        <v>550</v>
      </c>
      <c r="E105" s="5" t="s">
        <v>455</v>
      </c>
      <c r="F105" s="17">
        <v>200</v>
      </c>
      <c r="G105" s="5" t="s">
        <v>411</v>
      </c>
      <c r="H105" s="18">
        <v>35</v>
      </c>
      <c r="I105" s="18">
        <v>33.04</v>
      </c>
      <c r="J105" s="18">
        <v>1.96</v>
      </c>
      <c r="K105" s="18">
        <v>1.03</v>
      </c>
      <c r="L105" s="18">
        <v>0.36</v>
      </c>
      <c r="M105" s="18">
        <v>0.09</v>
      </c>
      <c r="N105" s="18">
        <v>0</v>
      </c>
      <c r="O105" s="18">
        <v>0.5</v>
      </c>
      <c r="P105" s="18">
        <v>0</v>
      </c>
      <c r="Q105" s="18">
        <v>31.15</v>
      </c>
      <c r="R105" s="18">
        <v>31.06</v>
      </c>
      <c r="S105" s="18">
        <v>14</v>
      </c>
      <c r="T105" s="18">
        <v>6212</v>
      </c>
      <c r="U105" s="18">
        <v>3412</v>
      </c>
      <c r="V105" s="5" t="s">
        <v>412</v>
      </c>
      <c r="W105" s="5" t="s">
        <v>413</v>
      </c>
      <c r="X105" s="5" t="s">
        <v>414</v>
      </c>
      <c r="Y105" s="5" t="s">
        <v>426</v>
      </c>
      <c r="Z105" s="5"/>
      <c r="AA105" s="5" t="s">
        <v>437</v>
      </c>
      <c r="AB105" s="5" t="s">
        <v>417</v>
      </c>
      <c r="AC105" s="5" t="s">
        <v>418</v>
      </c>
      <c r="AD105" s="18"/>
      <c r="AE105" s="5"/>
    </row>
    <row r="106" spans="1:31" ht="15" customHeight="1" x14ac:dyDescent="0.3">
      <c r="A106" s="5" t="s">
        <v>662</v>
      </c>
      <c r="B106" s="5" t="s">
        <v>663</v>
      </c>
      <c r="C106" s="5" t="s">
        <v>408</v>
      </c>
      <c r="D106" s="5" t="s">
        <v>460</v>
      </c>
      <c r="E106" s="5" t="s">
        <v>475</v>
      </c>
      <c r="F106" s="17">
        <v>2500</v>
      </c>
      <c r="G106" s="5" t="s">
        <v>411</v>
      </c>
      <c r="H106" s="18">
        <v>22.5</v>
      </c>
      <c r="I106" s="18">
        <v>21.1</v>
      </c>
      <c r="J106" s="18">
        <v>1.4</v>
      </c>
      <c r="K106" s="18">
        <v>0.09</v>
      </c>
      <c r="L106" s="18">
        <v>1.49</v>
      </c>
      <c r="M106" s="18">
        <v>0.53</v>
      </c>
      <c r="N106" s="18">
        <v>0.17</v>
      </c>
      <c r="O106" s="18">
        <v>0</v>
      </c>
      <c r="P106" s="18">
        <v>0.37</v>
      </c>
      <c r="Q106" s="18">
        <v>19.52</v>
      </c>
      <c r="R106" s="18">
        <v>18.45</v>
      </c>
      <c r="S106" s="18">
        <v>9</v>
      </c>
      <c r="T106" s="18">
        <v>46125</v>
      </c>
      <c r="U106" s="18">
        <v>23625</v>
      </c>
      <c r="V106" s="5" t="s">
        <v>412</v>
      </c>
      <c r="W106" s="5" t="s">
        <v>413</v>
      </c>
      <c r="X106" s="5" t="s">
        <v>414</v>
      </c>
      <c r="Y106" s="5" t="s">
        <v>415</v>
      </c>
      <c r="Z106" s="5" t="s">
        <v>476</v>
      </c>
      <c r="AA106" s="5"/>
      <c r="AB106" s="5" t="s">
        <v>417</v>
      </c>
      <c r="AC106" s="5" t="s">
        <v>418</v>
      </c>
      <c r="AD106" s="18"/>
      <c r="AE106" s="5"/>
    </row>
    <row r="107" spans="1:31" ht="15" customHeight="1" x14ac:dyDescent="0.3">
      <c r="A107" s="5" t="s">
        <v>664</v>
      </c>
      <c r="B107" s="5" t="s">
        <v>665</v>
      </c>
      <c r="C107" s="5" t="s">
        <v>531</v>
      </c>
      <c r="D107" s="5" t="s">
        <v>507</v>
      </c>
      <c r="E107" s="5" t="s">
        <v>455</v>
      </c>
      <c r="F107" s="17">
        <v>200</v>
      </c>
      <c r="G107" s="5" t="s">
        <v>433</v>
      </c>
      <c r="H107" s="18">
        <v>8.9</v>
      </c>
      <c r="I107" s="18">
        <v>8</v>
      </c>
      <c r="J107" s="18">
        <v>0.9</v>
      </c>
      <c r="K107" s="18">
        <v>7.0000000000000007E-2</v>
      </c>
      <c r="L107" s="18">
        <v>0.45</v>
      </c>
      <c r="M107" s="18">
        <v>0.04</v>
      </c>
      <c r="N107" s="18">
        <v>0</v>
      </c>
      <c r="O107" s="18">
        <v>0</v>
      </c>
      <c r="P107" s="18">
        <v>0</v>
      </c>
      <c r="Q107" s="18">
        <v>7.48</v>
      </c>
      <c r="R107" s="18">
        <v>7.44</v>
      </c>
      <c r="S107" s="18">
        <v>3.56</v>
      </c>
      <c r="T107" s="18">
        <v>1488</v>
      </c>
      <c r="U107" s="18">
        <v>776</v>
      </c>
      <c r="V107" s="5" t="s">
        <v>434</v>
      </c>
      <c r="W107" s="5" t="s">
        <v>435</v>
      </c>
      <c r="X107" s="5" t="s">
        <v>425</v>
      </c>
      <c r="Y107" s="5" t="s">
        <v>415</v>
      </c>
      <c r="Z107" s="5" t="s">
        <v>502</v>
      </c>
      <c r="AA107" s="5"/>
      <c r="AB107" s="5" t="s">
        <v>417</v>
      </c>
      <c r="AC107" s="5" t="s">
        <v>418</v>
      </c>
      <c r="AD107" s="18">
        <v>10.35</v>
      </c>
      <c r="AE107" s="19">
        <v>0.13900000000000001</v>
      </c>
    </row>
    <row r="108" spans="1:31" ht="15" customHeight="1" x14ac:dyDescent="0.3">
      <c r="A108" s="5" t="s">
        <v>666</v>
      </c>
      <c r="B108" s="5" t="s">
        <v>667</v>
      </c>
      <c r="C108" s="5" t="s">
        <v>430</v>
      </c>
      <c r="D108" s="5" t="s">
        <v>492</v>
      </c>
      <c r="E108" s="5" t="s">
        <v>410</v>
      </c>
      <c r="F108" s="17">
        <v>5000</v>
      </c>
      <c r="G108" s="5" t="s">
        <v>411</v>
      </c>
      <c r="H108" s="18">
        <v>28</v>
      </c>
      <c r="I108" s="18">
        <v>24.9</v>
      </c>
      <c r="J108" s="18">
        <v>3.1</v>
      </c>
      <c r="K108" s="18">
        <v>0.03</v>
      </c>
      <c r="L108" s="18">
        <v>1.93</v>
      </c>
      <c r="M108" s="18">
        <v>0</v>
      </c>
      <c r="N108" s="18">
        <v>1.3</v>
      </c>
      <c r="O108" s="18">
        <v>0</v>
      </c>
      <c r="P108" s="18">
        <v>0</v>
      </c>
      <c r="Q108" s="18">
        <v>22.94</v>
      </c>
      <c r="R108" s="18">
        <v>21.64</v>
      </c>
      <c r="S108" s="18">
        <v>11.2</v>
      </c>
      <c r="T108" s="18">
        <v>108200</v>
      </c>
      <c r="U108" s="18">
        <v>52200</v>
      </c>
      <c r="V108" s="5" t="s">
        <v>434</v>
      </c>
      <c r="W108" s="5" t="s">
        <v>435</v>
      </c>
      <c r="X108" s="5" t="s">
        <v>414</v>
      </c>
      <c r="Y108" s="5" t="s">
        <v>415</v>
      </c>
      <c r="Z108" s="5" t="s">
        <v>436</v>
      </c>
      <c r="AA108" s="5"/>
      <c r="AB108" s="5" t="s">
        <v>417</v>
      </c>
      <c r="AC108" s="5" t="s">
        <v>482</v>
      </c>
      <c r="AD108" s="18">
        <v>32.83</v>
      </c>
      <c r="AE108" s="19">
        <v>0.13900000000000001</v>
      </c>
    </row>
    <row r="109" spans="1:31" ht="15" customHeight="1" x14ac:dyDescent="0.3">
      <c r="A109" s="5" t="s">
        <v>668</v>
      </c>
      <c r="B109" s="5" t="s">
        <v>669</v>
      </c>
      <c r="C109" s="5" t="s">
        <v>421</v>
      </c>
      <c r="D109" s="5" t="s">
        <v>431</v>
      </c>
      <c r="E109" s="5" t="s">
        <v>410</v>
      </c>
      <c r="F109" s="17">
        <v>500</v>
      </c>
      <c r="G109" s="5" t="s">
        <v>433</v>
      </c>
      <c r="H109" s="18">
        <v>42</v>
      </c>
      <c r="I109" s="18">
        <v>40.770000000000003</v>
      </c>
      <c r="J109" s="18">
        <v>1.23</v>
      </c>
      <c r="K109" s="18">
        <v>1.02</v>
      </c>
      <c r="L109" s="18">
        <v>1.36</v>
      </c>
      <c r="M109" s="18">
        <v>1.1599999999999999</v>
      </c>
      <c r="N109" s="18">
        <v>0</v>
      </c>
      <c r="O109" s="18">
        <v>0</v>
      </c>
      <c r="P109" s="18">
        <v>0</v>
      </c>
      <c r="Q109" s="18">
        <v>38.39</v>
      </c>
      <c r="R109" s="18">
        <v>37.229999999999997</v>
      </c>
      <c r="S109" s="18">
        <v>16.8</v>
      </c>
      <c r="T109" s="18">
        <v>18615</v>
      </c>
      <c r="U109" s="18">
        <v>10215</v>
      </c>
      <c r="V109" s="5" t="s">
        <v>412</v>
      </c>
      <c r="W109" s="5" t="s">
        <v>424</v>
      </c>
      <c r="X109" s="5" t="s">
        <v>425</v>
      </c>
      <c r="Y109" s="5" t="s">
        <v>489</v>
      </c>
      <c r="Z109" s="5" t="s">
        <v>461</v>
      </c>
      <c r="AA109" s="5"/>
      <c r="AB109" s="5" t="s">
        <v>417</v>
      </c>
      <c r="AC109" s="5" t="s">
        <v>427</v>
      </c>
      <c r="AD109" s="18">
        <v>54.56</v>
      </c>
      <c r="AE109" s="19">
        <v>8.6999999999999994E-2</v>
      </c>
    </row>
    <row r="110" spans="1:31" ht="15" customHeight="1" x14ac:dyDescent="0.3">
      <c r="A110" s="5" t="s">
        <v>670</v>
      </c>
      <c r="B110" s="5" t="s">
        <v>647</v>
      </c>
      <c r="C110" s="5" t="s">
        <v>474</v>
      </c>
      <c r="D110" s="5" t="s">
        <v>451</v>
      </c>
      <c r="E110" s="5" t="s">
        <v>410</v>
      </c>
      <c r="F110" s="17">
        <v>1000</v>
      </c>
      <c r="G110" s="5" t="s">
        <v>411</v>
      </c>
      <c r="H110" s="18">
        <v>15.2</v>
      </c>
      <c r="I110" s="18">
        <v>14.18</v>
      </c>
      <c r="J110" s="18">
        <v>1.02</v>
      </c>
      <c r="K110" s="18">
        <v>0.15</v>
      </c>
      <c r="L110" s="18">
        <v>0.56999999999999995</v>
      </c>
      <c r="M110" s="18">
        <v>0</v>
      </c>
      <c r="N110" s="18">
        <v>0</v>
      </c>
      <c r="O110" s="18">
        <v>0</v>
      </c>
      <c r="P110" s="18">
        <v>0</v>
      </c>
      <c r="Q110" s="18">
        <v>13.46</v>
      </c>
      <c r="R110" s="18">
        <v>13.46</v>
      </c>
      <c r="S110" s="18">
        <v>6.08</v>
      </c>
      <c r="T110" s="18">
        <v>13460</v>
      </c>
      <c r="U110" s="18">
        <v>7380</v>
      </c>
      <c r="V110" s="5" t="s">
        <v>434</v>
      </c>
      <c r="W110" s="5" t="s">
        <v>435</v>
      </c>
      <c r="X110" s="5" t="s">
        <v>456</v>
      </c>
      <c r="Y110" s="5" t="s">
        <v>426</v>
      </c>
      <c r="Z110" s="5"/>
      <c r="AA110" s="5" t="s">
        <v>466</v>
      </c>
      <c r="AB110" s="5" t="s">
        <v>417</v>
      </c>
      <c r="AC110" s="5" t="s">
        <v>418</v>
      </c>
      <c r="AD110" s="18">
        <v>16.28</v>
      </c>
      <c r="AE110" s="19">
        <v>0.13500000000000001</v>
      </c>
    </row>
    <row r="111" spans="1:31" ht="15" customHeight="1" x14ac:dyDescent="0.3">
      <c r="A111" s="5" t="s">
        <v>671</v>
      </c>
      <c r="B111" s="5" t="s">
        <v>672</v>
      </c>
      <c r="C111" s="5" t="s">
        <v>575</v>
      </c>
      <c r="D111" s="5" t="s">
        <v>492</v>
      </c>
      <c r="E111" s="5" t="s">
        <v>410</v>
      </c>
      <c r="F111" s="17">
        <v>100</v>
      </c>
      <c r="G111" s="5" t="s">
        <v>411</v>
      </c>
      <c r="H111" s="18">
        <v>28</v>
      </c>
      <c r="I111" s="18">
        <v>25.44</v>
      </c>
      <c r="J111" s="18">
        <v>2.56</v>
      </c>
      <c r="K111" s="18">
        <v>0.42</v>
      </c>
      <c r="L111" s="18">
        <v>1.1499999999999999</v>
      </c>
      <c r="M111" s="18">
        <v>0.35</v>
      </c>
      <c r="N111" s="18">
        <v>0</v>
      </c>
      <c r="O111" s="18">
        <v>0.42</v>
      </c>
      <c r="P111" s="18">
        <v>0.12</v>
      </c>
      <c r="Q111" s="18">
        <v>23.45</v>
      </c>
      <c r="R111" s="18">
        <v>22.98</v>
      </c>
      <c r="S111" s="18">
        <v>11.2</v>
      </c>
      <c r="T111" s="18">
        <v>2298</v>
      </c>
      <c r="U111" s="18">
        <v>1178</v>
      </c>
      <c r="V111" s="5" t="s">
        <v>412</v>
      </c>
      <c r="W111" s="5" t="s">
        <v>413</v>
      </c>
      <c r="X111" s="5" t="s">
        <v>414</v>
      </c>
      <c r="Y111" s="5" t="s">
        <v>489</v>
      </c>
      <c r="Z111" s="5" t="s">
        <v>496</v>
      </c>
      <c r="AA111" s="5"/>
      <c r="AB111" s="5" t="s">
        <v>417</v>
      </c>
      <c r="AC111" s="5" t="s">
        <v>448</v>
      </c>
      <c r="AD111" s="18"/>
      <c r="AE111" s="5"/>
    </row>
    <row r="112" spans="1:31" ht="15" customHeight="1" x14ac:dyDescent="0.3">
      <c r="A112" s="5" t="s">
        <v>673</v>
      </c>
      <c r="B112" s="5" t="s">
        <v>633</v>
      </c>
      <c r="C112" s="5" t="s">
        <v>443</v>
      </c>
      <c r="D112" s="5" t="s">
        <v>431</v>
      </c>
      <c r="E112" s="5" t="s">
        <v>455</v>
      </c>
      <c r="F112" s="17">
        <v>50</v>
      </c>
      <c r="G112" s="5" t="s">
        <v>433</v>
      </c>
      <c r="H112" s="18">
        <v>42</v>
      </c>
      <c r="I112" s="18">
        <v>37.729999999999997</v>
      </c>
      <c r="J112" s="18">
        <v>4.2699999999999996</v>
      </c>
      <c r="K112" s="18">
        <v>0.54</v>
      </c>
      <c r="L112" s="18">
        <v>2.97</v>
      </c>
      <c r="M112" s="18">
        <v>1.28</v>
      </c>
      <c r="N112" s="18">
        <v>0</v>
      </c>
      <c r="O112" s="18">
        <v>0</v>
      </c>
      <c r="P112" s="18">
        <v>0</v>
      </c>
      <c r="Q112" s="18">
        <v>34.22</v>
      </c>
      <c r="R112" s="18">
        <v>32.94</v>
      </c>
      <c r="S112" s="18">
        <v>16.8</v>
      </c>
      <c r="T112" s="18">
        <v>1647</v>
      </c>
      <c r="U112" s="18">
        <v>807</v>
      </c>
      <c r="V112" s="5" t="s">
        <v>444</v>
      </c>
      <c r="W112" s="5" t="s">
        <v>413</v>
      </c>
      <c r="X112" s="5" t="s">
        <v>445</v>
      </c>
      <c r="Y112" s="5" t="s">
        <v>415</v>
      </c>
      <c r="Z112" s="5" t="s">
        <v>496</v>
      </c>
      <c r="AA112" s="5"/>
      <c r="AB112" s="5" t="s">
        <v>417</v>
      </c>
      <c r="AC112" s="5" t="s">
        <v>482</v>
      </c>
      <c r="AD112" s="18"/>
      <c r="AE112" s="5"/>
    </row>
    <row r="113" spans="1:31" ht="15" customHeight="1" x14ac:dyDescent="0.3">
      <c r="A113" s="5" t="s">
        <v>674</v>
      </c>
      <c r="B113" s="5" t="s">
        <v>675</v>
      </c>
      <c r="C113" s="5" t="s">
        <v>421</v>
      </c>
      <c r="D113" s="5" t="s">
        <v>460</v>
      </c>
      <c r="E113" s="5" t="s">
        <v>455</v>
      </c>
      <c r="F113" s="17">
        <v>200</v>
      </c>
      <c r="G113" s="5" t="s">
        <v>411</v>
      </c>
      <c r="H113" s="18">
        <v>22.5</v>
      </c>
      <c r="I113" s="18">
        <v>20.27</v>
      </c>
      <c r="J113" s="18">
        <v>2.23</v>
      </c>
      <c r="K113" s="18">
        <v>0.42</v>
      </c>
      <c r="L113" s="18">
        <v>1.1000000000000001</v>
      </c>
      <c r="M113" s="18">
        <v>0</v>
      </c>
      <c r="N113" s="18">
        <v>0</v>
      </c>
      <c r="O113" s="18">
        <v>0</v>
      </c>
      <c r="P113" s="18">
        <v>0.25</v>
      </c>
      <c r="Q113" s="18">
        <v>18.75</v>
      </c>
      <c r="R113" s="18">
        <v>18.5</v>
      </c>
      <c r="S113" s="18">
        <v>9</v>
      </c>
      <c r="T113" s="18">
        <v>3700</v>
      </c>
      <c r="U113" s="18">
        <v>1900</v>
      </c>
      <c r="V113" s="5" t="s">
        <v>412</v>
      </c>
      <c r="W113" s="5" t="s">
        <v>424</v>
      </c>
      <c r="X113" s="5" t="s">
        <v>425</v>
      </c>
      <c r="Y113" s="5" t="s">
        <v>489</v>
      </c>
      <c r="Z113" s="5" t="s">
        <v>502</v>
      </c>
      <c r="AA113" s="5" t="s">
        <v>510</v>
      </c>
      <c r="AB113" s="5" t="s">
        <v>417</v>
      </c>
      <c r="AC113" s="5" t="s">
        <v>448</v>
      </c>
      <c r="AD113" s="18">
        <v>23.74</v>
      </c>
      <c r="AE113" s="19">
        <v>0.23499999999999999</v>
      </c>
    </row>
    <row r="114" spans="1:31" ht="15" customHeight="1" x14ac:dyDescent="0.3">
      <c r="A114" s="5" t="s">
        <v>676</v>
      </c>
      <c r="B114" s="5" t="s">
        <v>677</v>
      </c>
      <c r="C114" s="5" t="s">
        <v>485</v>
      </c>
      <c r="D114" s="5" t="s">
        <v>409</v>
      </c>
      <c r="E114" s="5" t="s">
        <v>432</v>
      </c>
      <c r="F114" s="17">
        <v>100</v>
      </c>
      <c r="G114" s="5" t="s">
        <v>411</v>
      </c>
      <c r="H114" s="18">
        <v>8.5</v>
      </c>
      <c r="I114" s="18">
        <v>7.77</v>
      </c>
      <c r="J114" s="18">
        <v>0.73</v>
      </c>
      <c r="K114" s="18">
        <v>0.21</v>
      </c>
      <c r="L114" s="18">
        <v>0.35</v>
      </c>
      <c r="M114" s="18">
        <v>0</v>
      </c>
      <c r="N114" s="18">
        <v>7.0000000000000007E-2</v>
      </c>
      <c r="O114" s="18">
        <v>0.08</v>
      </c>
      <c r="P114" s="18">
        <v>0</v>
      </c>
      <c r="Q114" s="18">
        <v>7.13</v>
      </c>
      <c r="R114" s="18">
        <v>7.06</v>
      </c>
      <c r="S114" s="18">
        <v>3.4</v>
      </c>
      <c r="T114" s="18">
        <v>706</v>
      </c>
      <c r="U114" s="18">
        <v>366</v>
      </c>
      <c r="V114" s="5" t="s">
        <v>444</v>
      </c>
      <c r="W114" s="5" t="s">
        <v>413</v>
      </c>
      <c r="X114" s="5" t="s">
        <v>456</v>
      </c>
      <c r="Y114" s="5" t="s">
        <v>415</v>
      </c>
      <c r="Z114" s="5" t="s">
        <v>502</v>
      </c>
      <c r="AA114" s="5" t="s">
        <v>447</v>
      </c>
      <c r="AB114" s="5" t="s">
        <v>417</v>
      </c>
      <c r="AC114" s="5" t="s">
        <v>427</v>
      </c>
      <c r="AD114" s="18"/>
      <c r="AE114" s="5"/>
    </row>
    <row r="115" spans="1:31" ht="15" customHeight="1" x14ac:dyDescent="0.3">
      <c r="A115" s="5" t="s">
        <v>678</v>
      </c>
      <c r="B115" s="5" t="s">
        <v>514</v>
      </c>
      <c r="C115" s="5" t="s">
        <v>421</v>
      </c>
      <c r="D115" s="5" t="s">
        <v>550</v>
      </c>
      <c r="E115" s="5" t="s">
        <v>475</v>
      </c>
      <c r="F115" s="17">
        <v>2500</v>
      </c>
      <c r="G115" s="5" t="s">
        <v>411</v>
      </c>
      <c r="H115" s="18">
        <v>35</v>
      </c>
      <c r="I115" s="18">
        <v>32.64</v>
      </c>
      <c r="J115" s="18">
        <v>2.36</v>
      </c>
      <c r="K115" s="18">
        <v>0.5</v>
      </c>
      <c r="L115" s="18">
        <v>0.05</v>
      </c>
      <c r="M115" s="18">
        <v>0</v>
      </c>
      <c r="N115" s="18">
        <v>0</v>
      </c>
      <c r="O115" s="18">
        <v>0</v>
      </c>
      <c r="P115" s="18">
        <v>0</v>
      </c>
      <c r="Q115" s="18">
        <v>32.090000000000003</v>
      </c>
      <c r="R115" s="18">
        <v>32.090000000000003</v>
      </c>
      <c r="S115" s="18">
        <v>14</v>
      </c>
      <c r="T115" s="18">
        <v>80225</v>
      </c>
      <c r="U115" s="18">
        <v>45225</v>
      </c>
      <c r="V115" s="5" t="s">
        <v>412</v>
      </c>
      <c r="W115" s="5" t="s">
        <v>424</v>
      </c>
      <c r="X115" s="5" t="s">
        <v>425</v>
      </c>
      <c r="Y115" s="5" t="s">
        <v>426</v>
      </c>
      <c r="Z115" s="5"/>
      <c r="AA115" s="5"/>
      <c r="AB115" s="5" t="s">
        <v>417</v>
      </c>
      <c r="AC115" s="5" t="s">
        <v>427</v>
      </c>
      <c r="AD115" s="18">
        <v>41.68</v>
      </c>
      <c r="AE115" s="19">
        <v>0.24</v>
      </c>
    </row>
    <row r="116" spans="1:31" ht="15" customHeight="1" x14ac:dyDescent="0.3">
      <c r="A116" s="5" t="s">
        <v>679</v>
      </c>
      <c r="B116" s="5" t="s">
        <v>651</v>
      </c>
      <c r="C116" s="5" t="s">
        <v>430</v>
      </c>
      <c r="D116" s="5" t="s">
        <v>492</v>
      </c>
      <c r="E116" s="5" t="s">
        <v>423</v>
      </c>
      <c r="F116" s="17">
        <v>2500</v>
      </c>
      <c r="G116" s="5" t="s">
        <v>411</v>
      </c>
      <c r="H116" s="18">
        <v>28</v>
      </c>
      <c r="I116" s="18">
        <v>27.83</v>
      </c>
      <c r="J116" s="18">
        <v>0.17</v>
      </c>
      <c r="K116" s="18">
        <v>0.4</v>
      </c>
      <c r="L116" s="18">
        <v>1.17</v>
      </c>
      <c r="M116" s="18">
        <v>0.87</v>
      </c>
      <c r="N116" s="18">
        <v>0</v>
      </c>
      <c r="O116" s="18">
        <v>0.2</v>
      </c>
      <c r="P116" s="18">
        <v>0</v>
      </c>
      <c r="Q116" s="18">
        <v>26.06</v>
      </c>
      <c r="R116" s="18">
        <v>25.19</v>
      </c>
      <c r="S116" s="18">
        <v>11.2</v>
      </c>
      <c r="T116" s="18">
        <v>62975</v>
      </c>
      <c r="U116" s="18">
        <v>34975</v>
      </c>
      <c r="V116" s="5" t="s">
        <v>434</v>
      </c>
      <c r="W116" s="5" t="s">
        <v>435</v>
      </c>
      <c r="X116" s="5" t="s">
        <v>414</v>
      </c>
      <c r="Y116" s="5" t="s">
        <v>426</v>
      </c>
      <c r="Z116" s="5"/>
      <c r="AA116" s="5"/>
      <c r="AB116" s="5" t="s">
        <v>417</v>
      </c>
      <c r="AC116" s="5" t="s">
        <v>448</v>
      </c>
      <c r="AD116" s="18">
        <v>33.840000000000003</v>
      </c>
      <c r="AE116" s="19">
        <v>0.23499999999999999</v>
      </c>
    </row>
    <row r="117" spans="1:31" ht="15" customHeight="1" x14ac:dyDescent="0.3">
      <c r="A117" s="5" t="s">
        <v>680</v>
      </c>
      <c r="B117" s="5" t="s">
        <v>484</v>
      </c>
      <c r="C117" s="5" t="s">
        <v>474</v>
      </c>
      <c r="D117" s="5" t="s">
        <v>451</v>
      </c>
      <c r="E117" s="5" t="s">
        <v>475</v>
      </c>
      <c r="F117" s="17">
        <v>2500</v>
      </c>
      <c r="G117" s="5" t="s">
        <v>411</v>
      </c>
      <c r="H117" s="18">
        <v>15.2</v>
      </c>
      <c r="I117" s="18">
        <v>14.83</v>
      </c>
      <c r="J117" s="18">
        <v>0.37</v>
      </c>
      <c r="K117" s="18">
        <v>0.23</v>
      </c>
      <c r="L117" s="18">
        <v>0.74</v>
      </c>
      <c r="M117" s="18">
        <v>0.52</v>
      </c>
      <c r="N117" s="18">
        <v>0.64</v>
      </c>
      <c r="O117" s="18">
        <v>0</v>
      </c>
      <c r="P117" s="18">
        <v>0</v>
      </c>
      <c r="Q117" s="18">
        <v>13.86</v>
      </c>
      <c r="R117" s="18">
        <v>12.7</v>
      </c>
      <c r="S117" s="18">
        <v>6.08</v>
      </c>
      <c r="T117" s="18">
        <v>31750</v>
      </c>
      <c r="U117" s="18">
        <v>16550</v>
      </c>
      <c r="V117" s="5" t="s">
        <v>434</v>
      </c>
      <c r="W117" s="5" t="s">
        <v>435</v>
      </c>
      <c r="X117" s="5" t="s">
        <v>456</v>
      </c>
      <c r="Y117" s="5" t="s">
        <v>426</v>
      </c>
      <c r="Z117" s="5"/>
      <c r="AA117" s="5"/>
      <c r="AB117" s="5" t="s">
        <v>417</v>
      </c>
      <c r="AC117" s="5" t="s">
        <v>427</v>
      </c>
      <c r="AD117" s="18">
        <v>19.239999999999998</v>
      </c>
      <c r="AE117" s="19">
        <v>0.22500000000000001</v>
      </c>
    </row>
    <row r="118" spans="1:31" ht="15" customHeight="1" x14ac:dyDescent="0.3">
      <c r="A118" s="5" t="s">
        <v>681</v>
      </c>
      <c r="B118" s="5" t="s">
        <v>682</v>
      </c>
      <c r="C118" s="5" t="s">
        <v>443</v>
      </c>
      <c r="D118" s="5" t="s">
        <v>550</v>
      </c>
      <c r="E118" s="5" t="s">
        <v>410</v>
      </c>
      <c r="F118" s="17">
        <v>1000</v>
      </c>
      <c r="G118" s="5" t="s">
        <v>411</v>
      </c>
      <c r="H118" s="18">
        <v>35</v>
      </c>
      <c r="I118" s="18">
        <v>33.51</v>
      </c>
      <c r="J118" s="18">
        <v>1.49</v>
      </c>
      <c r="K118" s="18">
        <v>0.81</v>
      </c>
      <c r="L118" s="18">
        <v>2.02</v>
      </c>
      <c r="M118" s="18">
        <v>0.97</v>
      </c>
      <c r="N118" s="18">
        <v>0.4</v>
      </c>
      <c r="O118" s="18">
        <v>0</v>
      </c>
      <c r="P118" s="18">
        <v>0</v>
      </c>
      <c r="Q118" s="18">
        <v>30.68</v>
      </c>
      <c r="R118" s="18">
        <v>29.31</v>
      </c>
      <c r="S118" s="18">
        <v>14</v>
      </c>
      <c r="T118" s="18">
        <v>29310</v>
      </c>
      <c r="U118" s="18">
        <v>15310</v>
      </c>
      <c r="V118" s="5" t="s">
        <v>444</v>
      </c>
      <c r="W118" s="5" t="s">
        <v>413</v>
      </c>
      <c r="X118" s="5" t="s">
        <v>445</v>
      </c>
      <c r="Y118" s="5" t="s">
        <v>415</v>
      </c>
      <c r="Z118" s="5" t="s">
        <v>522</v>
      </c>
      <c r="AA118" s="5" t="s">
        <v>447</v>
      </c>
      <c r="AB118" s="5" t="s">
        <v>417</v>
      </c>
      <c r="AC118" s="5" t="s">
        <v>427</v>
      </c>
      <c r="AD118" s="18"/>
      <c r="AE118" s="5"/>
    </row>
    <row r="119" spans="1:31" ht="15" customHeight="1" x14ac:dyDescent="0.3">
      <c r="A119" s="5" t="s">
        <v>683</v>
      </c>
      <c r="B119" s="5" t="s">
        <v>684</v>
      </c>
      <c r="C119" s="5" t="s">
        <v>531</v>
      </c>
      <c r="D119" s="5" t="s">
        <v>460</v>
      </c>
      <c r="E119" s="5" t="s">
        <v>410</v>
      </c>
      <c r="F119" s="17">
        <v>500</v>
      </c>
      <c r="G119" s="5" t="s">
        <v>411</v>
      </c>
      <c r="H119" s="18">
        <v>22.5</v>
      </c>
      <c r="I119" s="18">
        <v>21.56</v>
      </c>
      <c r="J119" s="18">
        <v>0.94</v>
      </c>
      <c r="K119" s="18">
        <v>0.63</v>
      </c>
      <c r="L119" s="18">
        <v>1.43</v>
      </c>
      <c r="M119" s="18">
        <v>0</v>
      </c>
      <c r="N119" s="18">
        <v>0</v>
      </c>
      <c r="O119" s="18">
        <v>0</v>
      </c>
      <c r="P119" s="18">
        <v>0</v>
      </c>
      <c r="Q119" s="18">
        <v>19.5</v>
      </c>
      <c r="R119" s="18">
        <v>19.5</v>
      </c>
      <c r="S119" s="18">
        <v>9</v>
      </c>
      <c r="T119" s="18">
        <v>9750</v>
      </c>
      <c r="U119" s="18">
        <v>5250</v>
      </c>
      <c r="V119" s="5" t="s">
        <v>434</v>
      </c>
      <c r="W119" s="5" t="s">
        <v>435</v>
      </c>
      <c r="X119" s="5" t="s">
        <v>425</v>
      </c>
      <c r="Y119" s="5" t="s">
        <v>426</v>
      </c>
      <c r="Z119" s="5"/>
      <c r="AA119" s="5" t="s">
        <v>510</v>
      </c>
      <c r="AB119" s="5" t="s">
        <v>417</v>
      </c>
      <c r="AC119" s="5" t="s">
        <v>427</v>
      </c>
      <c r="AD119" s="18">
        <v>24.71</v>
      </c>
      <c r="AE119" s="19">
        <v>0.218</v>
      </c>
    </row>
    <row r="120" spans="1:31" ht="15" customHeight="1" x14ac:dyDescent="0.3">
      <c r="A120" s="5" t="s">
        <v>685</v>
      </c>
      <c r="B120" s="5" t="s">
        <v>686</v>
      </c>
      <c r="C120" s="5" t="s">
        <v>479</v>
      </c>
      <c r="D120" s="5" t="s">
        <v>521</v>
      </c>
      <c r="E120" s="5" t="s">
        <v>410</v>
      </c>
      <c r="F120" s="17">
        <v>500</v>
      </c>
      <c r="G120" s="5" t="s">
        <v>411</v>
      </c>
      <c r="H120" s="18">
        <v>12.75</v>
      </c>
      <c r="I120" s="18">
        <v>11.75</v>
      </c>
      <c r="J120" s="18">
        <v>1</v>
      </c>
      <c r="K120" s="18">
        <v>0.28999999999999998</v>
      </c>
      <c r="L120" s="18">
        <v>0.22</v>
      </c>
      <c r="M120" s="18">
        <v>0.14000000000000001</v>
      </c>
      <c r="N120" s="18">
        <v>0</v>
      </c>
      <c r="O120" s="18">
        <v>0</v>
      </c>
      <c r="P120" s="18">
        <v>0</v>
      </c>
      <c r="Q120" s="18">
        <v>11.24</v>
      </c>
      <c r="R120" s="18">
        <v>11.1</v>
      </c>
      <c r="S120" s="18">
        <v>5.0999999999999996</v>
      </c>
      <c r="T120" s="18">
        <v>5550</v>
      </c>
      <c r="U120" s="18">
        <v>3000</v>
      </c>
      <c r="V120" s="5" t="s">
        <v>444</v>
      </c>
      <c r="W120" s="5" t="s">
        <v>424</v>
      </c>
      <c r="X120" s="5" t="s">
        <v>445</v>
      </c>
      <c r="Y120" s="5" t="s">
        <v>415</v>
      </c>
      <c r="Z120" s="5" t="s">
        <v>469</v>
      </c>
      <c r="AA120" s="5"/>
      <c r="AB120" s="5" t="s">
        <v>417</v>
      </c>
      <c r="AC120" s="5" t="s">
        <v>418</v>
      </c>
      <c r="AD120" s="18">
        <v>16.2</v>
      </c>
      <c r="AE120" s="19">
        <v>0.187</v>
      </c>
    </row>
    <row r="121" spans="1:31" ht="15" customHeight="1" x14ac:dyDescent="0.3">
      <c r="A121" s="5" t="s">
        <v>687</v>
      </c>
      <c r="B121" s="5" t="s">
        <v>552</v>
      </c>
      <c r="C121" s="5" t="s">
        <v>531</v>
      </c>
      <c r="D121" s="5" t="s">
        <v>409</v>
      </c>
      <c r="E121" s="5" t="s">
        <v>432</v>
      </c>
      <c r="F121" s="17">
        <v>500</v>
      </c>
      <c r="G121" s="5" t="s">
        <v>411</v>
      </c>
      <c r="H121" s="18">
        <v>8.5</v>
      </c>
      <c r="I121" s="18">
        <v>8.16</v>
      </c>
      <c r="J121" s="18">
        <v>0.34</v>
      </c>
      <c r="K121" s="18">
        <v>0.12</v>
      </c>
      <c r="L121" s="18">
        <v>0.46</v>
      </c>
      <c r="M121" s="18">
        <v>0</v>
      </c>
      <c r="N121" s="18">
        <v>0.5</v>
      </c>
      <c r="O121" s="18">
        <v>0</v>
      </c>
      <c r="P121" s="18">
        <v>0</v>
      </c>
      <c r="Q121" s="18">
        <v>7.58</v>
      </c>
      <c r="R121" s="18">
        <v>7.08</v>
      </c>
      <c r="S121" s="18">
        <v>3.4</v>
      </c>
      <c r="T121" s="18">
        <v>3540</v>
      </c>
      <c r="U121" s="18">
        <v>1840</v>
      </c>
      <c r="V121" s="5" t="s">
        <v>434</v>
      </c>
      <c r="W121" s="5" t="s">
        <v>435</v>
      </c>
      <c r="X121" s="5" t="s">
        <v>425</v>
      </c>
      <c r="Y121" s="5" t="s">
        <v>426</v>
      </c>
      <c r="Z121" s="5"/>
      <c r="AA121" s="5"/>
      <c r="AB121" s="5" t="s">
        <v>417</v>
      </c>
      <c r="AC121" s="5" t="s">
        <v>418</v>
      </c>
      <c r="AD121" s="18">
        <v>10.32</v>
      </c>
      <c r="AE121" s="19">
        <v>0.183</v>
      </c>
    </row>
    <row r="122" spans="1:31" ht="15" customHeight="1" x14ac:dyDescent="0.3">
      <c r="A122" s="5" t="s">
        <v>688</v>
      </c>
      <c r="B122" s="5" t="s">
        <v>689</v>
      </c>
      <c r="C122" s="5" t="s">
        <v>575</v>
      </c>
      <c r="D122" s="5" t="s">
        <v>431</v>
      </c>
      <c r="E122" s="5" t="s">
        <v>432</v>
      </c>
      <c r="F122" s="17">
        <v>5000</v>
      </c>
      <c r="G122" s="5" t="s">
        <v>433</v>
      </c>
      <c r="H122" s="18">
        <v>42</v>
      </c>
      <c r="I122" s="18">
        <v>41.55</v>
      </c>
      <c r="J122" s="18">
        <v>0.45</v>
      </c>
      <c r="K122" s="18">
        <v>0.72</v>
      </c>
      <c r="L122" s="18">
        <v>1.8</v>
      </c>
      <c r="M122" s="18">
        <v>1.57</v>
      </c>
      <c r="N122" s="18">
        <v>0.44</v>
      </c>
      <c r="O122" s="18">
        <v>0.22</v>
      </c>
      <c r="P122" s="18">
        <v>0.84</v>
      </c>
      <c r="Q122" s="18">
        <v>38.81</v>
      </c>
      <c r="R122" s="18">
        <v>35.96</v>
      </c>
      <c r="S122" s="18">
        <v>16.8</v>
      </c>
      <c r="T122" s="18">
        <v>179800</v>
      </c>
      <c r="U122" s="18">
        <v>95800</v>
      </c>
      <c r="V122" s="5" t="s">
        <v>412</v>
      </c>
      <c r="W122" s="5" t="s">
        <v>413</v>
      </c>
      <c r="X122" s="5" t="s">
        <v>414</v>
      </c>
      <c r="Y122" s="5" t="s">
        <v>426</v>
      </c>
      <c r="Z122" s="5"/>
      <c r="AA122" s="5" t="s">
        <v>510</v>
      </c>
      <c r="AB122" s="5" t="s">
        <v>417</v>
      </c>
      <c r="AC122" s="5" t="s">
        <v>427</v>
      </c>
      <c r="AD122" s="18"/>
      <c r="AE122" s="5"/>
    </row>
    <row r="123" spans="1:31" ht="15" customHeight="1" x14ac:dyDescent="0.3">
      <c r="A123" s="5" t="s">
        <v>690</v>
      </c>
      <c r="B123" s="5" t="s">
        <v>691</v>
      </c>
      <c r="C123" s="5" t="s">
        <v>485</v>
      </c>
      <c r="D123" s="5" t="s">
        <v>431</v>
      </c>
      <c r="E123" s="5" t="s">
        <v>455</v>
      </c>
      <c r="F123" s="17">
        <v>1000</v>
      </c>
      <c r="G123" s="5" t="s">
        <v>433</v>
      </c>
      <c r="H123" s="18">
        <v>42</v>
      </c>
      <c r="I123" s="18">
        <v>41.46</v>
      </c>
      <c r="J123" s="18">
        <v>0.54</v>
      </c>
      <c r="K123" s="18">
        <v>1.24</v>
      </c>
      <c r="L123" s="18">
        <v>0.96</v>
      </c>
      <c r="M123" s="18">
        <v>0.91</v>
      </c>
      <c r="N123" s="18">
        <v>0</v>
      </c>
      <c r="O123" s="18">
        <v>1.07</v>
      </c>
      <c r="P123" s="18">
        <v>0</v>
      </c>
      <c r="Q123" s="18">
        <v>38.19</v>
      </c>
      <c r="R123" s="18">
        <v>37.28</v>
      </c>
      <c r="S123" s="18">
        <v>16.8</v>
      </c>
      <c r="T123" s="18">
        <v>37280</v>
      </c>
      <c r="U123" s="18">
        <v>20480</v>
      </c>
      <c r="V123" s="5" t="s">
        <v>444</v>
      </c>
      <c r="W123" s="5" t="s">
        <v>413</v>
      </c>
      <c r="X123" s="5" t="s">
        <v>456</v>
      </c>
      <c r="Y123" s="5" t="s">
        <v>415</v>
      </c>
      <c r="Z123" s="5" t="s">
        <v>476</v>
      </c>
      <c r="AA123" s="5" t="s">
        <v>447</v>
      </c>
      <c r="AB123" s="5" t="s">
        <v>417</v>
      </c>
      <c r="AC123" s="5" t="s">
        <v>448</v>
      </c>
      <c r="AD123" s="18"/>
      <c r="AE123" s="5"/>
    </row>
    <row r="124" spans="1:31" ht="15" customHeight="1" x14ac:dyDescent="0.3">
      <c r="A124" s="5" t="s">
        <v>692</v>
      </c>
      <c r="B124" s="5" t="s">
        <v>693</v>
      </c>
      <c r="C124" s="5" t="s">
        <v>479</v>
      </c>
      <c r="D124" s="5" t="s">
        <v>451</v>
      </c>
      <c r="E124" s="5" t="s">
        <v>432</v>
      </c>
      <c r="F124" s="17">
        <v>2500</v>
      </c>
      <c r="G124" s="5" t="s">
        <v>411</v>
      </c>
      <c r="H124" s="18">
        <v>15.2</v>
      </c>
      <c r="I124" s="18">
        <v>14.59</v>
      </c>
      <c r="J124" s="18">
        <v>0.61</v>
      </c>
      <c r="K124" s="18">
        <v>0.13</v>
      </c>
      <c r="L124" s="18">
        <v>0.82</v>
      </c>
      <c r="M124" s="18">
        <v>0</v>
      </c>
      <c r="N124" s="18">
        <v>0.57999999999999996</v>
      </c>
      <c r="O124" s="18">
        <v>0</v>
      </c>
      <c r="P124" s="18">
        <v>0</v>
      </c>
      <c r="Q124" s="18">
        <v>13.64</v>
      </c>
      <c r="R124" s="18">
        <v>13.06</v>
      </c>
      <c r="S124" s="18">
        <v>6.08</v>
      </c>
      <c r="T124" s="18">
        <v>32650</v>
      </c>
      <c r="U124" s="18">
        <v>17450</v>
      </c>
      <c r="V124" s="5" t="s">
        <v>444</v>
      </c>
      <c r="W124" s="5" t="s">
        <v>424</v>
      </c>
      <c r="X124" s="5" t="s">
        <v>445</v>
      </c>
      <c r="Y124" s="5" t="s">
        <v>489</v>
      </c>
      <c r="Z124" s="5" t="s">
        <v>436</v>
      </c>
      <c r="AA124" s="5"/>
      <c r="AB124" s="5" t="s">
        <v>417</v>
      </c>
      <c r="AC124" s="5" t="s">
        <v>482</v>
      </c>
      <c r="AD124" s="18">
        <v>18.16</v>
      </c>
      <c r="AE124" s="19">
        <v>0.20200000000000001</v>
      </c>
    </row>
    <row r="125" spans="1:31" ht="15" customHeight="1" x14ac:dyDescent="0.3">
      <c r="A125" s="5" t="s">
        <v>694</v>
      </c>
      <c r="B125" s="5" t="s">
        <v>695</v>
      </c>
      <c r="C125" s="5" t="s">
        <v>454</v>
      </c>
      <c r="D125" s="5" t="s">
        <v>460</v>
      </c>
      <c r="E125" s="5" t="s">
        <v>410</v>
      </c>
      <c r="F125" s="17">
        <v>100</v>
      </c>
      <c r="G125" s="5" t="s">
        <v>411</v>
      </c>
      <c r="H125" s="18">
        <v>22.5</v>
      </c>
      <c r="I125" s="18">
        <v>22.48</v>
      </c>
      <c r="J125" s="18">
        <v>0.02</v>
      </c>
      <c r="K125" s="18">
        <v>0.26</v>
      </c>
      <c r="L125" s="18">
        <v>0.8</v>
      </c>
      <c r="M125" s="18">
        <v>0</v>
      </c>
      <c r="N125" s="18">
        <v>0</v>
      </c>
      <c r="O125" s="18">
        <v>0</v>
      </c>
      <c r="P125" s="18">
        <v>0</v>
      </c>
      <c r="Q125" s="18">
        <v>21.42</v>
      </c>
      <c r="R125" s="18">
        <v>21.42</v>
      </c>
      <c r="S125" s="18">
        <v>9</v>
      </c>
      <c r="T125" s="18">
        <v>2142</v>
      </c>
      <c r="U125" s="18">
        <v>1242</v>
      </c>
      <c r="V125" s="5" t="s">
        <v>444</v>
      </c>
      <c r="W125" s="5" t="s">
        <v>413</v>
      </c>
      <c r="X125" s="5" t="s">
        <v>456</v>
      </c>
      <c r="Y125" s="5" t="s">
        <v>489</v>
      </c>
      <c r="Z125" s="5" t="s">
        <v>547</v>
      </c>
      <c r="AA125" s="5"/>
      <c r="AB125" s="5" t="s">
        <v>417</v>
      </c>
      <c r="AC125" s="5" t="s">
        <v>418</v>
      </c>
      <c r="AD125" s="18"/>
      <c r="AE125" s="5"/>
    </row>
    <row r="126" spans="1:31" ht="15" customHeight="1" x14ac:dyDescent="0.3">
      <c r="A126" s="5" t="s">
        <v>696</v>
      </c>
      <c r="B126" s="5" t="s">
        <v>697</v>
      </c>
      <c r="C126" s="5" t="s">
        <v>408</v>
      </c>
      <c r="D126" s="5" t="s">
        <v>460</v>
      </c>
      <c r="E126" s="5" t="s">
        <v>410</v>
      </c>
      <c r="F126" s="17">
        <v>100</v>
      </c>
      <c r="G126" s="5" t="s">
        <v>411</v>
      </c>
      <c r="H126" s="18">
        <v>22.5</v>
      </c>
      <c r="I126" s="18">
        <v>21.41</v>
      </c>
      <c r="J126" s="18">
        <v>1.0900000000000001</v>
      </c>
      <c r="K126" s="18">
        <v>0.34</v>
      </c>
      <c r="L126" s="18">
        <v>1.61</v>
      </c>
      <c r="M126" s="18">
        <v>0.28000000000000003</v>
      </c>
      <c r="N126" s="18">
        <v>0</v>
      </c>
      <c r="O126" s="18">
        <v>0.2</v>
      </c>
      <c r="P126" s="18">
        <v>0</v>
      </c>
      <c r="Q126" s="18">
        <v>19.260000000000002</v>
      </c>
      <c r="R126" s="18">
        <v>18.98</v>
      </c>
      <c r="S126" s="18">
        <v>9</v>
      </c>
      <c r="T126" s="18">
        <v>1898</v>
      </c>
      <c r="U126" s="18">
        <v>998</v>
      </c>
      <c r="V126" s="5" t="s">
        <v>412</v>
      </c>
      <c r="W126" s="5" t="s">
        <v>413</v>
      </c>
      <c r="X126" s="5" t="s">
        <v>414</v>
      </c>
      <c r="Y126" s="5" t="s">
        <v>415</v>
      </c>
      <c r="Z126" s="5" t="s">
        <v>476</v>
      </c>
      <c r="AA126" s="5" t="s">
        <v>466</v>
      </c>
      <c r="AB126" s="5" t="s">
        <v>417</v>
      </c>
      <c r="AC126" s="5" t="s">
        <v>448</v>
      </c>
      <c r="AD126" s="18"/>
      <c r="AE126" s="5"/>
    </row>
    <row r="127" spans="1:31" ht="15" customHeight="1" x14ac:dyDescent="0.3">
      <c r="A127" s="5" t="s">
        <v>698</v>
      </c>
      <c r="B127" s="5" t="s">
        <v>586</v>
      </c>
      <c r="C127" s="5" t="s">
        <v>575</v>
      </c>
      <c r="D127" s="5" t="s">
        <v>422</v>
      </c>
      <c r="E127" s="5" t="s">
        <v>455</v>
      </c>
      <c r="F127" s="17">
        <v>500</v>
      </c>
      <c r="G127" s="5" t="s">
        <v>411</v>
      </c>
      <c r="H127" s="18">
        <v>3.2</v>
      </c>
      <c r="I127" s="18">
        <v>2.91</v>
      </c>
      <c r="J127" s="18">
        <v>0.28999999999999998</v>
      </c>
      <c r="K127" s="18">
        <v>0.08</v>
      </c>
      <c r="L127" s="18">
        <v>0.21</v>
      </c>
      <c r="M127" s="18">
        <v>0.09</v>
      </c>
      <c r="N127" s="18">
        <v>0</v>
      </c>
      <c r="O127" s="18">
        <v>0.05</v>
      </c>
      <c r="P127" s="18">
        <v>0</v>
      </c>
      <c r="Q127" s="18">
        <v>2.57</v>
      </c>
      <c r="R127" s="18">
        <v>2.48</v>
      </c>
      <c r="S127" s="18">
        <v>1.28</v>
      </c>
      <c r="T127" s="18">
        <v>1240</v>
      </c>
      <c r="U127" s="18">
        <v>600</v>
      </c>
      <c r="V127" s="5" t="s">
        <v>412</v>
      </c>
      <c r="W127" s="5" t="s">
        <v>413</v>
      </c>
      <c r="X127" s="5" t="s">
        <v>414</v>
      </c>
      <c r="Y127" s="5" t="s">
        <v>489</v>
      </c>
      <c r="Z127" s="5" t="s">
        <v>502</v>
      </c>
      <c r="AA127" s="5"/>
      <c r="AB127" s="5" t="s">
        <v>417</v>
      </c>
      <c r="AC127" s="5" t="s">
        <v>482</v>
      </c>
      <c r="AD127" s="18"/>
      <c r="AE127" s="5"/>
    </row>
    <row r="128" spans="1:31" ht="15" customHeight="1" x14ac:dyDescent="0.3">
      <c r="A128" s="5" t="s">
        <v>699</v>
      </c>
      <c r="B128" s="5" t="s">
        <v>697</v>
      </c>
      <c r="C128" s="5" t="s">
        <v>421</v>
      </c>
      <c r="D128" s="5" t="s">
        <v>550</v>
      </c>
      <c r="E128" s="5" t="s">
        <v>423</v>
      </c>
      <c r="F128" s="17">
        <v>1000</v>
      </c>
      <c r="G128" s="5" t="s">
        <v>411</v>
      </c>
      <c r="H128" s="18">
        <v>35</v>
      </c>
      <c r="I128" s="18">
        <v>32.75</v>
      </c>
      <c r="J128" s="18">
        <v>2.25</v>
      </c>
      <c r="K128" s="18">
        <v>0.17</v>
      </c>
      <c r="L128" s="18">
        <v>2.39</v>
      </c>
      <c r="M128" s="18">
        <v>0.95</v>
      </c>
      <c r="N128" s="18">
        <v>1.03</v>
      </c>
      <c r="O128" s="18">
        <v>0.47</v>
      </c>
      <c r="P128" s="18">
        <v>0</v>
      </c>
      <c r="Q128" s="18">
        <v>29.72</v>
      </c>
      <c r="R128" s="18">
        <v>27.74</v>
      </c>
      <c r="S128" s="18">
        <v>14</v>
      </c>
      <c r="T128" s="18">
        <v>27740</v>
      </c>
      <c r="U128" s="18">
        <v>13740</v>
      </c>
      <c r="V128" s="5" t="s">
        <v>412</v>
      </c>
      <c r="W128" s="5" t="s">
        <v>424</v>
      </c>
      <c r="X128" s="5" t="s">
        <v>425</v>
      </c>
      <c r="Y128" s="5" t="s">
        <v>415</v>
      </c>
      <c r="Z128" s="5" t="s">
        <v>700</v>
      </c>
      <c r="AA128" s="5"/>
      <c r="AB128" s="5" t="s">
        <v>417</v>
      </c>
      <c r="AC128" s="5" t="s">
        <v>482</v>
      </c>
      <c r="AD128" s="18">
        <v>36.92</v>
      </c>
      <c r="AE128" s="19">
        <v>0.24299999999999999</v>
      </c>
    </row>
    <row r="129" spans="1:31" ht="15" customHeight="1" x14ac:dyDescent="0.3">
      <c r="A129" s="5" t="s">
        <v>701</v>
      </c>
      <c r="B129" s="5" t="s">
        <v>702</v>
      </c>
      <c r="C129" s="5" t="s">
        <v>443</v>
      </c>
      <c r="D129" s="5" t="s">
        <v>431</v>
      </c>
      <c r="E129" s="5" t="s">
        <v>432</v>
      </c>
      <c r="F129" s="17">
        <v>500</v>
      </c>
      <c r="G129" s="5" t="s">
        <v>433</v>
      </c>
      <c r="H129" s="18">
        <v>42</v>
      </c>
      <c r="I129" s="18">
        <v>40.72</v>
      </c>
      <c r="J129" s="18">
        <v>1.28</v>
      </c>
      <c r="K129" s="18">
        <v>0</v>
      </c>
      <c r="L129" s="18">
        <v>0.73</v>
      </c>
      <c r="M129" s="18">
        <v>0</v>
      </c>
      <c r="N129" s="18">
        <v>0</v>
      </c>
      <c r="O129" s="18">
        <v>0.68</v>
      </c>
      <c r="P129" s="18">
        <v>0</v>
      </c>
      <c r="Q129" s="18">
        <v>39.31</v>
      </c>
      <c r="R129" s="18">
        <v>39.31</v>
      </c>
      <c r="S129" s="18">
        <v>16.8</v>
      </c>
      <c r="T129" s="18">
        <v>19655</v>
      </c>
      <c r="U129" s="18">
        <v>11255</v>
      </c>
      <c r="V129" s="5" t="s">
        <v>444</v>
      </c>
      <c r="W129" s="5" t="s">
        <v>413</v>
      </c>
      <c r="X129" s="5" t="s">
        <v>445</v>
      </c>
      <c r="Y129" s="5" t="s">
        <v>426</v>
      </c>
      <c r="Z129" s="5"/>
      <c r="AA129" s="5" t="s">
        <v>466</v>
      </c>
      <c r="AB129" s="5" t="s">
        <v>417</v>
      </c>
      <c r="AC129" s="5" t="s">
        <v>482</v>
      </c>
      <c r="AD129" s="18"/>
      <c r="AE129" s="5"/>
    </row>
    <row r="130" spans="1:31" ht="15" customHeight="1" x14ac:dyDescent="0.3">
      <c r="A130" s="5" t="s">
        <v>703</v>
      </c>
      <c r="B130" s="5" t="s">
        <v>704</v>
      </c>
      <c r="C130" s="5" t="s">
        <v>474</v>
      </c>
      <c r="D130" s="5" t="s">
        <v>451</v>
      </c>
      <c r="E130" s="5" t="s">
        <v>423</v>
      </c>
      <c r="F130" s="17">
        <v>5000</v>
      </c>
      <c r="G130" s="5" t="s">
        <v>411</v>
      </c>
      <c r="H130" s="18">
        <v>15.2</v>
      </c>
      <c r="I130" s="18">
        <v>14.03</v>
      </c>
      <c r="J130" s="18">
        <v>1.17</v>
      </c>
      <c r="K130" s="18">
        <v>0.33</v>
      </c>
      <c r="L130" s="18">
        <v>1.17</v>
      </c>
      <c r="M130" s="18">
        <v>0</v>
      </c>
      <c r="N130" s="18">
        <v>0.41</v>
      </c>
      <c r="O130" s="18">
        <v>0.17</v>
      </c>
      <c r="P130" s="18">
        <v>0</v>
      </c>
      <c r="Q130" s="18">
        <v>12.36</v>
      </c>
      <c r="R130" s="18">
        <v>11.95</v>
      </c>
      <c r="S130" s="18">
        <v>6.08</v>
      </c>
      <c r="T130" s="18">
        <v>59750</v>
      </c>
      <c r="U130" s="18">
        <v>29350</v>
      </c>
      <c r="V130" s="5" t="s">
        <v>434</v>
      </c>
      <c r="W130" s="5" t="s">
        <v>435</v>
      </c>
      <c r="X130" s="5" t="s">
        <v>456</v>
      </c>
      <c r="Y130" s="5" t="s">
        <v>415</v>
      </c>
      <c r="Z130" s="5" t="s">
        <v>499</v>
      </c>
      <c r="AA130" s="5"/>
      <c r="AB130" s="5" t="s">
        <v>417</v>
      </c>
      <c r="AC130" s="5" t="s">
        <v>427</v>
      </c>
      <c r="AD130" s="18">
        <v>19</v>
      </c>
      <c r="AE130" s="19">
        <v>0.183</v>
      </c>
    </row>
    <row r="131" spans="1:31" ht="15" customHeight="1" x14ac:dyDescent="0.3">
      <c r="A131" s="5" t="s">
        <v>705</v>
      </c>
      <c r="B131" s="5" t="s">
        <v>706</v>
      </c>
      <c r="C131" s="5" t="s">
        <v>454</v>
      </c>
      <c r="D131" s="5" t="s">
        <v>550</v>
      </c>
      <c r="E131" s="5" t="s">
        <v>475</v>
      </c>
      <c r="F131" s="17">
        <v>1000</v>
      </c>
      <c r="G131" s="5" t="s">
        <v>411</v>
      </c>
      <c r="H131" s="18">
        <v>35</v>
      </c>
      <c r="I131" s="18">
        <v>34.47</v>
      </c>
      <c r="J131" s="18">
        <v>0.53</v>
      </c>
      <c r="K131" s="18">
        <v>1.03</v>
      </c>
      <c r="L131" s="18">
        <v>2.34</v>
      </c>
      <c r="M131" s="18">
        <v>1.37</v>
      </c>
      <c r="N131" s="18">
        <v>0</v>
      </c>
      <c r="O131" s="18">
        <v>0.45</v>
      </c>
      <c r="P131" s="18">
        <v>0</v>
      </c>
      <c r="Q131" s="18">
        <v>30.65</v>
      </c>
      <c r="R131" s="18">
        <v>29.28</v>
      </c>
      <c r="S131" s="18">
        <v>14</v>
      </c>
      <c r="T131" s="18">
        <v>29280</v>
      </c>
      <c r="U131" s="18">
        <v>15280</v>
      </c>
      <c r="V131" s="5" t="s">
        <v>444</v>
      </c>
      <c r="W131" s="5" t="s">
        <v>413</v>
      </c>
      <c r="X131" s="5" t="s">
        <v>456</v>
      </c>
      <c r="Y131" s="5" t="s">
        <v>415</v>
      </c>
      <c r="Z131" s="5" t="s">
        <v>461</v>
      </c>
      <c r="AA131" s="5"/>
      <c r="AB131" s="5" t="s">
        <v>417</v>
      </c>
      <c r="AC131" s="5" t="s">
        <v>418</v>
      </c>
      <c r="AD131" s="18"/>
      <c r="AE131" s="5"/>
    </row>
    <row r="132" spans="1:31" ht="15" customHeight="1" x14ac:dyDescent="0.3">
      <c r="A132" s="5" t="s">
        <v>707</v>
      </c>
      <c r="B132" s="5" t="s">
        <v>708</v>
      </c>
      <c r="C132" s="5" t="s">
        <v>531</v>
      </c>
      <c r="D132" s="5" t="s">
        <v>521</v>
      </c>
      <c r="E132" s="5" t="s">
        <v>432</v>
      </c>
      <c r="F132" s="17">
        <v>5000</v>
      </c>
      <c r="G132" s="5" t="s">
        <v>411</v>
      </c>
      <c r="H132" s="18">
        <v>12.75</v>
      </c>
      <c r="I132" s="18">
        <v>11.74</v>
      </c>
      <c r="J132" s="18">
        <v>1.01</v>
      </c>
      <c r="K132" s="18">
        <v>0.24</v>
      </c>
      <c r="L132" s="18">
        <v>0.95</v>
      </c>
      <c r="M132" s="18">
        <v>0.12</v>
      </c>
      <c r="N132" s="18">
        <v>0</v>
      </c>
      <c r="O132" s="18">
        <v>0</v>
      </c>
      <c r="P132" s="18">
        <v>0</v>
      </c>
      <c r="Q132" s="18">
        <v>10.55</v>
      </c>
      <c r="R132" s="18">
        <v>10.43</v>
      </c>
      <c r="S132" s="18">
        <v>5.0999999999999996</v>
      </c>
      <c r="T132" s="18">
        <v>52150</v>
      </c>
      <c r="U132" s="18">
        <v>26650</v>
      </c>
      <c r="V132" s="5" t="s">
        <v>434</v>
      </c>
      <c r="W132" s="5" t="s">
        <v>435</v>
      </c>
      <c r="X132" s="5" t="s">
        <v>425</v>
      </c>
      <c r="Y132" s="5" t="s">
        <v>426</v>
      </c>
      <c r="Z132" s="5"/>
      <c r="AA132" s="5"/>
      <c r="AB132" s="5" t="s">
        <v>417</v>
      </c>
      <c r="AC132" s="5" t="s">
        <v>482</v>
      </c>
      <c r="AD132" s="18">
        <v>14.08</v>
      </c>
      <c r="AE132" s="19">
        <v>0.17499999999999999</v>
      </c>
    </row>
    <row r="133" spans="1:31" ht="15" customHeight="1" x14ac:dyDescent="0.3">
      <c r="A133" s="5" t="s">
        <v>709</v>
      </c>
      <c r="B133" s="5" t="s">
        <v>710</v>
      </c>
      <c r="C133" s="5" t="s">
        <v>443</v>
      </c>
      <c r="D133" s="5" t="s">
        <v>440</v>
      </c>
      <c r="E133" s="5" t="s">
        <v>455</v>
      </c>
      <c r="F133" s="17">
        <v>100</v>
      </c>
      <c r="G133" s="5" t="s">
        <v>411</v>
      </c>
      <c r="H133" s="18">
        <v>0.45</v>
      </c>
      <c r="I133" s="18">
        <v>0.41</v>
      </c>
      <c r="J133" s="18">
        <v>0.04</v>
      </c>
      <c r="K133" s="18">
        <v>0.01</v>
      </c>
      <c r="L133" s="18">
        <v>0.01</v>
      </c>
      <c r="M133" s="18">
        <v>0</v>
      </c>
      <c r="N133" s="18">
        <v>0.02</v>
      </c>
      <c r="O133" s="18">
        <v>0</v>
      </c>
      <c r="P133" s="18">
        <v>0</v>
      </c>
      <c r="Q133" s="18">
        <v>0.39</v>
      </c>
      <c r="R133" s="18">
        <v>0.37</v>
      </c>
      <c r="S133" s="18">
        <v>0.18</v>
      </c>
      <c r="T133" s="18">
        <v>37</v>
      </c>
      <c r="U133" s="18">
        <v>19</v>
      </c>
      <c r="V133" s="5" t="s">
        <v>444</v>
      </c>
      <c r="W133" s="5" t="s">
        <v>413</v>
      </c>
      <c r="X133" s="5" t="s">
        <v>445</v>
      </c>
      <c r="Y133" s="5" t="s">
        <v>489</v>
      </c>
      <c r="Z133" s="5" t="s">
        <v>486</v>
      </c>
      <c r="AA133" s="5"/>
      <c r="AB133" s="5" t="s">
        <v>417</v>
      </c>
      <c r="AC133" s="5" t="s">
        <v>418</v>
      </c>
      <c r="AD133" s="18"/>
      <c r="AE133" s="5"/>
    </row>
    <row r="134" spans="1:31" ht="15" customHeight="1" x14ac:dyDescent="0.3">
      <c r="A134" s="5" t="s">
        <v>711</v>
      </c>
      <c r="B134" s="5" t="s">
        <v>712</v>
      </c>
      <c r="C134" s="5" t="s">
        <v>421</v>
      </c>
      <c r="D134" s="5" t="s">
        <v>440</v>
      </c>
      <c r="E134" s="5" t="s">
        <v>475</v>
      </c>
      <c r="F134" s="17">
        <v>200</v>
      </c>
      <c r="G134" s="5" t="s">
        <v>411</v>
      </c>
      <c r="H134" s="18">
        <v>0.45</v>
      </c>
      <c r="I134" s="18">
        <v>0.44</v>
      </c>
      <c r="J134" s="18">
        <v>0.01</v>
      </c>
      <c r="K134" s="18">
        <v>0.01</v>
      </c>
      <c r="L134" s="18">
        <v>0.02</v>
      </c>
      <c r="M134" s="18">
        <v>0</v>
      </c>
      <c r="N134" s="18">
        <v>0.02</v>
      </c>
      <c r="O134" s="18">
        <v>0</v>
      </c>
      <c r="P134" s="18">
        <v>0</v>
      </c>
      <c r="Q134" s="18">
        <v>0.41</v>
      </c>
      <c r="R134" s="18">
        <v>0.39</v>
      </c>
      <c r="S134" s="18">
        <v>0.18</v>
      </c>
      <c r="T134" s="18">
        <v>78</v>
      </c>
      <c r="U134" s="18">
        <v>42</v>
      </c>
      <c r="V134" s="5" t="s">
        <v>412</v>
      </c>
      <c r="W134" s="5" t="s">
        <v>424</v>
      </c>
      <c r="X134" s="5" t="s">
        <v>425</v>
      </c>
      <c r="Y134" s="5" t="s">
        <v>426</v>
      </c>
      <c r="Z134" s="5"/>
      <c r="AA134" s="5" t="s">
        <v>447</v>
      </c>
      <c r="AB134" s="5" t="s">
        <v>417</v>
      </c>
      <c r="AC134" s="5" t="s">
        <v>448</v>
      </c>
      <c r="AD134" s="18">
        <v>0.55000000000000004</v>
      </c>
      <c r="AE134" s="19">
        <v>0.20399999999999999</v>
      </c>
    </row>
    <row r="135" spans="1:31" ht="15" customHeight="1" x14ac:dyDescent="0.3">
      <c r="A135" s="5" t="s">
        <v>713</v>
      </c>
      <c r="B135" s="5" t="s">
        <v>714</v>
      </c>
      <c r="C135" s="5" t="s">
        <v>454</v>
      </c>
      <c r="D135" s="5" t="s">
        <v>431</v>
      </c>
      <c r="E135" s="5" t="s">
        <v>475</v>
      </c>
      <c r="F135" s="17">
        <v>100</v>
      </c>
      <c r="G135" s="5" t="s">
        <v>433</v>
      </c>
      <c r="H135" s="18">
        <v>42</v>
      </c>
      <c r="I135" s="18">
        <v>38.200000000000003</v>
      </c>
      <c r="J135" s="18">
        <v>3.8</v>
      </c>
      <c r="K135" s="18">
        <v>0.6</v>
      </c>
      <c r="L135" s="18">
        <v>2.85</v>
      </c>
      <c r="M135" s="18">
        <v>0</v>
      </c>
      <c r="N135" s="18">
        <v>2.0299999999999998</v>
      </c>
      <c r="O135" s="18">
        <v>0.71</v>
      </c>
      <c r="P135" s="18">
        <v>0.47</v>
      </c>
      <c r="Q135" s="18">
        <v>34.04</v>
      </c>
      <c r="R135" s="18">
        <v>31.54</v>
      </c>
      <c r="S135" s="18">
        <v>16.8</v>
      </c>
      <c r="T135" s="18">
        <v>3154</v>
      </c>
      <c r="U135" s="18">
        <v>1474</v>
      </c>
      <c r="V135" s="5" t="s">
        <v>444</v>
      </c>
      <c r="W135" s="5" t="s">
        <v>413</v>
      </c>
      <c r="X135" s="5" t="s">
        <v>456</v>
      </c>
      <c r="Y135" s="5" t="s">
        <v>415</v>
      </c>
      <c r="Z135" s="5" t="s">
        <v>496</v>
      </c>
      <c r="AA135" s="5"/>
      <c r="AB135" s="5" t="s">
        <v>417</v>
      </c>
      <c r="AC135" s="5" t="s">
        <v>418</v>
      </c>
      <c r="AD135" s="18"/>
      <c r="AE135" s="5"/>
    </row>
    <row r="136" spans="1:31" ht="15" customHeight="1" x14ac:dyDescent="0.3">
      <c r="A136" s="5" t="s">
        <v>715</v>
      </c>
      <c r="B136" s="5" t="s">
        <v>716</v>
      </c>
      <c r="C136" s="5" t="s">
        <v>408</v>
      </c>
      <c r="D136" s="5" t="s">
        <v>460</v>
      </c>
      <c r="E136" s="5" t="s">
        <v>410</v>
      </c>
      <c r="F136" s="17">
        <v>50</v>
      </c>
      <c r="G136" s="5" t="s">
        <v>411</v>
      </c>
      <c r="H136" s="18">
        <v>22.5</v>
      </c>
      <c r="I136" s="18">
        <v>21.05</v>
      </c>
      <c r="J136" s="18">
        <v>1.45</v>
      </c>
      <c r="K136" s="18">
        <v>0.56000000000000005</v>
      </c>
      <c r="L136" s="18">
        <v>0.09</v>
      </c>
      <c r="M136" s="18">
        <v>0</v>
      </c>
      <c r="N136" s="18">
        <v>0.05</v>
      </c>
      <c r="O136" s="18">
        <v>0</v>
      </c>
      <c r="P136" s="18">
        <v>0.26</v>
      </c>
      <c r="Q136" s="18">
        <v>20.399999999999999</v>
      </c>
      <c r="R136" s="18">
        <v>20.09</v>
      </c>
      <c r="S136" s="18">
        <v>9</v>
      </c>
      <c r="T136" s="18">
        <v>1004.5</v>
      </c>
      <c r="U136" s="18">
        <v>554.5</v>
      </c>
      <c r="V136" s="5" t="s">
        <v>412</v>
      </c>
      <c r="W136" s="5" t="s">
        <v>413</v>
      </c>
      <c r="X136" s="5" t="s">
        <v>414</v>
      </c>
      <c r="Y136" s="5" t="s">
        <v>415</v>
      </c>
      <c r="Z136" s="5" t="s">
        <v>446</v>
      </c>
      <c r="AA136" s="5"/>
      <c r="AB136" s="5" t="s">
        <v>417</v>
      </c>
      <c r="AC136" s="5" t="s">
        <v>427</v>
      </c>
      <c r="AD136" s="18"/>
      <c r="AE136" s="5"/>
    </row>
    <row r="137" spans="1:31" ht="15" customHeight="1" x14ac:dyDescent="0.3">
      <c r="A137" s="5" t="s">
        <v>717</v>
      </c>
      <c r="B137" s="5" t="s">
        <v>718</v>
      </c>
      <c r="C137" s="5" t="s">
        <v>485</v>
      </c>
      <c r="D137" s="5" t="s">
        <v>440</v>
      </c>
      <c r="E137" s="5" t="s">
        <v>423</v>
      </c>
      <c r="F137" s="17">
        <v>2500</v>
      </c>
      <c r="G137" s="5" t="s">
        <v>411</v>
      </c>
      <c r="H137" s="18">
        <v>0.45</v>
      </c>
      <c r="I137" s="18">
        <v>0.44</v>
      </c>
      <c r="J137" s="18">
        <v>0.01</v>
      </c>
      <c r="K137" s="18">
        <v>0.01</v>
      </c>
      <c r="L137" s="18">
        <v>0.02</v>
      </c>
      <c r="M137" s="18">
        <v>0</v>
      </c>
      <c r="N137" s="18">
        <v>0.01</v>
      </c>
      <c r="O137" s="18">
        <v>0.01</v>
      </c>
      <c r="P137" s="18">
        <v>0</v>
      </c>
      <c r="Q137" s="18">
        <v>0.4</v>
      </c>
      <c r="R137" s="18">
        <v>0.39</v>
      </c>
      <c r="S137" s="18">
        <v>0.18</v>
      </c>
      <c r="T137" s="18">
        <v>975</v>
      </c>
      <c r="U137" s="18">
        <v>525</v>
      </c>
      <c r="V137" s="5" t="s">
        <v>444</v>
      </c>
      <c r="W137" s="5" t="s">
        <v>413</v>
      </c>
      <c r="X137" s="5" t="s">
        <v>456</v>
      </c>
      <c r="Y137" s="5" t="s">
        <v>426</v>
      </c>
      <c r="Z137" s="5"/>
      <c r="AA137" s="5"/>
      <c r="AB137" s="5" t="s">
        <v>417</v>
      </c>
      <c r="AC137" s="5" t="s">
        <v>427</v>
      </c>
      <c r="AD137" s="18"/>
      <c r="AE137" s="5"/>
    </row>
    <row r="138" spans="1:31" ht="15" customHeight="1" x14ac:dyDescent="0.3">
      <c r="A138" s="5" t="s">
        <v>719</v>
      </c>
      <c r="B138" s="5" t="s">
        <v>720</v>
      </c>
      <c r="C138" s="5" t="s">
        <v>479</v>
      </c>
      <c r="D138" s="5" t="s">
        <v>507</v>
      </c>
      <c r="E138" s="5" t="s">
        <v>455</v>
      </c>
      <c r="F138" s="17">
        <v>500</v>
      </c>
      <c r="G138" s="5" t="s">
        <v>433</v>
      </c>
      <c r="H138" s="18">
        <v>8.9</v>
      </c>
      <c r="I138" s="18">
        <v>8.4</v>
      </c>
      <c r="J138" s="18">
        <v>0.5</v>
      </c>
      <c r="K138" s="18">
        <v>0.21</v>
      </c>
      <c r="L138" s="18">
        <v>0.51</v>
      </c>
      <c r="M138" s="18">
        <v>0.11</v>
      </c>
      <c r="N138" s="18">
        <v>0</v>
      </c>
      <c r="O138" s="18">
        <v>0</v>
      </c>
      <c r="P138" s="18">
        <v>0</v>
      </c>
      <c r="Q138" s="18">
        <v>7.68</v>
      </c>
      <c r="R138" s="18">
        <v>7.57</v>
      </c>
      <c r="S138" s="18">
        <v>3.56</v>
      </c>
      <c r="T138" s="18">
        <v>3785</v>
      </c>
      <c r="U138" s="18">
        <v>2005</v>
      </c>
      <c r="V138" s="5" t="s">
        <v>444</v>
      </c>
      <c r="W138" s="5" t="s">
        <v>424</v>
      </c>
      <c r="X138" s="5" t="s">
        <v>445</v>
      </c>
      <c r="Y138" s="5" t="s">
        <v>415</v>
      </c>
      <c r="Z138" s="5" t="s">
        <v>496</v>
      </c>
      <c r="AA138" s="5" t="s">
        <v>437</v>
      </c>
      <c r="AB138" s="5" t="s">
        <v>417</v>
      </c>
      <c r="AC138" s="5" t="s">
        <v>448</v>
      </c>
      <c r="AD138" s="18">
        <v>11.56</v>
      </c>
      <c r="AE138" s="19">
        <v>0.224</v>
      </c>
    </row>
    <row r="139" spans="1:31" ht="15" customHeight="1" x14ac:dyDescent="0.3">
      <c r="A139" s="5" t="s">
        <v>721</v>
      </c>
      <c r="B139" s="5" t="s">
        <v>590</v>
      </c>
      <c r="C139" s="5" t="s">
        <v>454</v>
      </c>
      <c r="D139" s="5" t="s">
        <v>440</v>
      </c>
      <c r="E139" s="5" t="s">
        <v>410</v>
      </c>
      <c r="F139" s="17">
        <v>100</v>
      </c>
      <c r="G139" s="5" t="s">
        <v>411</v>
      </c>
      <c r="H139" s="18">
        <v>0.45</v>
      </c>
      <c r="I139" s="18">
        <v>0.43</v>
      </c>
      <c r="J139" s="18">
        <v>0.02</v>
      </c>
      <c r="K139" s="18">
        <v>0.01</v>
      </c>
      <c r="L139" s="18">
        <v>0.02</v>
      </c>
      <c r="M139" s="18">
        <v>0.01</v>
      </c>
      <c r="N139" s="18">
        <v>0</v>
      </c>
      <c r="O139" s="18">
        <v>0.01</v>
      </c>
      <c r="P139" s="18">
        <v>0</v>
      </c>
      <c r="Q139" s="18">
        <v>0.39</v>
      </c>
      <c r="R139" s="18">
        <v>0.38</v>
      </c>
      <c r="S139" s="18">
        <v>0.18</v>
      </c>
      <c r="T139" s="18">
        <v>38</v>
      </c>
      <c r="U139" s="18">
        <v>20</v>
      </c>
      <c r="V139" s="5" t="s">
        <v>444</v>
      </c>
      <c r="W139" s="5" t="s">
        <v>413</v>
      </c>
      <c r="X139" s="5" t="s">
        <v>456</v>
      </c>
      <c r="Y139" s="5" t="s">
        <v>426</v>
      </c>
      <c r="Z139" s="5"/>
      <c r="AA139" s="5"/>
      <c r="AB139" s="5" t="s">
        <v>417</v>
      </c>
      <c r="AC139" s="5" t="s">
        <v>427</v>
      </c>
      <c r="AD139" s="18"/>
      <c r="AE139" s="5"/>
    </row>
    <row r="140" spans="1:31" ht="15" customHeight="1" x14ac:dyDescent="0.3">
      <c r="A140" s="5" t="s">
        <v>722</v>
      </c>
      <c r="B140" s="5" t="s">
        <v>723</v>
      </c>
      <c r="C140" s="5" t="s">
        <v>454</v>
      </c>
      <c r="D140" s="5" t="s">
        <v>550</v>
      </c>
      <c r="E140" s="5" t="s">
        <v>475</v>
      </c>
      <c r="F140" s="17">
        <v>100</v>
      </c>
      <c r="G140" s="5" t="s">
        <v>411</v>
      </c>
      <c r="H140" s="18">
        <v>35</v>
      </c>
      <c r="I140" s="18">
        <v>31.15</v>
      </c>
      <c r="J140" s="18">
        <v>3.85</v>
      </c>
      <c r="K140" s="18">
        <v>0.56999999999999995</v>
      </c>
      <c r="L140" s="18">
        <v>1.8</v>
      </c>
      <c r="M140" s="18">
        <v>0</v>
      </c>
      <c r="N140" s="18">
        <v>0</v>
      </c>
      <c r="O140" s="18">
        <v>0.99</v>
      </c>
      <c r="P140" s="18">
        <v>0</v>
      </c>
      <c r="Q140" s="18">
        <v>27.79</v>
      </c>
      <c r="R140" s="18">
        <v>27.79</v>
      </c>
      <c r="S140" s="18">
        <v>14</v>
      </c>
      <c r="T140" s="18">
        <v>2779</v>
      </c>
      <c r="U140" s="18">
        <v>1379</v>
      </c>
      <c r="V140" s="5" t="s">
        <v>444</v>
      </c>
      <c r="W140" s="5" t="s">
        <v>413</v>
      </c>
      <c r="X140" s="5" t="s">
        <v>456</v>
      </c>
      <c r="Y140" s="5" t="s">
        <v>426</v>
      </c>
      <c r="Z140" s="5"/>
      <c r="AA140" s="5"/>
      <c r="AB140" s="5" t="s">
        <v>417</v>
      </c>
      <c r="AC140" s="5" t="s">
        <v>418</v>
      </c>
      <c r="AD140" s="18"/>
      <c r="AE140" s="5"/>
    </row>
    <row r="141" spans="1:31" ht="15" customHeight="1" x14ac:dyDescent="0.3">
      <c r="A141" s="5" t="s">
        <v>724</v>
      </c>
      <c r="B141" s="5" t="s">
        <v>725</v>
      </c>
      <c r="C141" s="5" t="s">
        <v>454</v>
      </c>
      <c r="D141" s="5" t="s">
        <v>409</v>
      </c>
      <c r="E141" s="5" t="s">
        <v>423</v>
      </c>
      <c r="F141" s="17">
        <v>1000</v>
      </c>
      <c r="G141" s="5" t="s">
        <v>411</v>
      </c>
      <c r="H141" s="18">
        <v>8.5</v>
      </c>
      <c r="I141" s="18">
        <v>8.0299999999999994</v>
      </c>
      <c r="J141" s="18">
        <v>0.47</v>
      </c>
      <c r="K141" s="18">
        <v>0.02</v>
      </c>
      <c r="L141" s="18">
        <v>0.43</v>
      </c>
      <c r="M141" s="18">
        <v>0.31</v>
      </c>
      <c r="N141" s="18">
        <v>0.01</v>
      </c>
      <c r="O141" s="18">
        <v>0</v>
      </c>
      <c r="P141" s="18">
        <v>0</v>
      </c>
      <c r="Q141" s="18">
        <v>7.58</v>
      </c>
      <c r="R141" s="18">
        <v>7.26</v>
      </c>
      <c r="S141" s="18">
        <v>3.4</v>
      </c>
      <c r="T141" s="18">
        <v>7260</v>
      </c>
      <c r="U141" s="18">
        <v>3860</v>
      </c>
      <c r="V141" s="5" t="s">
        <v>444</v>
      </c>
      <c r="W141" s="5" t="s">
        <v>413</v>
      </c>
      <c r="X141" s="5" t="s">
        <v>456</v>
      </c>
      <c r="Y141" s="5" t="s">
        <v>426</v>
      </c>
      <c r="Z141" s="5"/>
      <c r="AA141" s="5"/>
      <c r="AB141" s="5" t="s">
        <v>417</v>
      </c>
      <c r="AC141" s="5" t="s">
        <v>427</v>
      </c>
      <c r="AD141" s="18"/>
      <c r="AE141" s="5"/>
    </row>
    <row r="142" spans="1:31" ht="15" customHeight="1" x14ac:dyDescent="0.3">
      <c r="A142" s="5" t="s">
        <v>726</v>
      </c>
      <c r="B142" s="5" t="s">
        <v>727</v>
      </c>
      <c r="C142" s="5" t="s">
        <v>479</v>
      </c>
      <c r="D142" s="5" t="s">
        <v>409</v>
      </c>
      <c r="E142" s="5" t="s">
        <v>455</v>
      </c>
      <c r="F142" s="17">
        <v>5000</v>
      </c>
      <c r="G142" s="5" t="s">
        <v>411</v>
      </c>
      <c r="H142" s="18">
        <v>8.5</v>
      </c>
      <c r="I142" s="18">
        <v>7.79</v>
      </c>
      <c r="J142" s="18">
        <v>0.71</v>
      </c>
      <c r="K142" s="18">
        <v>0.11</v>
      </c>
      <c r="L142" s="18">
        <v>0.64</v>
      </c>
      <c r="M142" s="18">
        <v>0</v>
      </c>
      <c r="N142" s="18">
        <v>0.27</v>
      </c>
      <c r="O142" s="18">
        <v>0</v>
      </c>
      <c r="P142" s="18">
        <v>0</v>
      </c>
      <c r="Q142" s="18">
        <v>7.04</v>
      </c>
      <c r="R142" s="18">
        <v>6.77</v>
      </c>
      <c r="S142" s="18">
        <v>3.4</v>
      </c>
      <c r="T142" s="18">
        <v>33850</v>
      </c>
      <c r="U142" s="18">
        <v>16850</v>
      </c>
      <c r="V142" s="5" t="s">
        <v>444</v>
      </c>
      <c r="W142" s="5" t="s">
        <v>424</v>
      </c>
      <c r="X142" s="5" t="s">
        <v>445</v>
      </c>
      <c r="Y142" s="5" t="s">
        <v>489</v>
      </c>
      <c r="Z142" s="5" t="s">
        <v>522</v>
      </c>
      <c r="AA142" s="5" t="s">
        <v>447</v>
      </c>
      <c r="AB142" s="5" t="s">
        <v>417</v>
      </c>
      <c r="AC142" s="5" t="s">
        <v>448</v>
      </c>
      <c r="AD142" s="18">
        <v>8.9499999999999993</v>
      </c>
      <c r="AE142" s="19">
        <v>0.17100000000000001</v>
      </c>
    </row>
    <row r="143" spans="1:31" ht="15" customHeight="1" x14ac:dyDescent="0.3">
      <c r="A143" s="5" t="s">
        <v>728</v>
      </c>
      <c r="B143" s="5" t="s">
        <v>729</v>
      </c>
      <c r="C143" s="5" t="s">
        <v>575</v>
      </c>
      <c r="D143" s="5" t="s">
        <v>422</v>
      </c>
      <c r="E143" s="5" t="s">
        <v>475</v>
      </c>
      <c r="F143" s="17">
        <v>1000</v>
      </c>
      <c r="G143" s="5" t="s">
        <v>411</v>
      </c>
      <c r="H143" s="18">
        <v>3.2</v>
      </c>
      <c r="I143" s="18">
        <v>3.11</v>
      </c>
      <c r="J143" s="18">
        <v>0.09</v>
      </c>
      <c r="K143" s="18">
        <v>7.0000000000000007E-2</v>
      </c>
      <c r="L143" s="18">
        <v>0.08</v>
      </c>
      <c r="M143" s="18">
        <v>0.01</v>
      </c>
      <c r="N143" s="18">
        <v>0.12</v>
      </c>
      <c r="O143" s="18">
        <v>0</v>
      </c>
      <c r="P143" s="18">
        <v>0</v>
      </c>
      <c r="Q143" s="18">
        <v>2.96</v>
      </c>
      <c r="R143" s="18">
        <v>2.83</v>
      </c>
      <c r="S143" s="18">
        <v>1.28</v>
      </c>
      <c r="T143" s="18">
        <v>2830</v>
      </c>
      <c r="U143" s="18">
        <v>1550</v>
      </c>
      <c r="V143" s="5" t="s">
        <v>412</v>
      </c>
      <c r="W143" s="5" t="s">
        <v>413</v>
      </c>
      <c r="X143" s="5" t="s">
        <v>414</v>
      </c>
      <c r="Y143" s="5" t="s">
        <v>426</v>
      </c>
      <c r="Z143" s="5"/>
      <c r="AA143" s="5"/>
      <c r="AB143" s="5" t="s">
        <v>417</v>
      </c>
      <c r="AC143" s="5" t="s">
        <v>482</v>
      </c>
      <c r="AD143" s="18"/>
      <c r="AE143" s="5"/>
    </row>
    <row r="144" spans="1:31" ht="15" customHeight="1" x14ac:dyDescent="0.3">
      <c r="A144" s="5" t="s">
        <v>730</v>
      </c>
      <c r="B144" s="5" t="s">
        <v>731</v>
      </c>
      <c r="C144" s="5" t="s">
        <v>485</v>
      </c>
      <c r="D144" s="5" t="s">
        <v>451</v>
      </c>
      <c r="E144" s="5" t="s">
        <v>432</v>
      </c>
      <c r="F144" s="17">
        <v>500</v>
      </c>
      <c r="G144" s="5" t="s">
        <v>411</v>
      </c>
      <c r="H144" s="18">
        <v>15.2</v>
      </c>
      <c r="I144" s="18">
        <v>13.66</v>
      </c>
      <c r="J144" s="18">
        <v>1.54</v>
      </c>
      <c r="K144" s="18">
        <v>0.28999999999999998</v>
      </c>
      <c r="L144" s="18">
        <v>0.4</v>
      </c>
      <c r="M144" s="18">
        <v>0.59</v>
      </c>
      <c r="N144" s="18">
        <v>0.84</v>
      </c>
      <c r="O144" s="18">
        <v>0</v>
      </c>
      <c r="P144" s="18">
        <v>0.21</v>
      </c>
      <c r="Q144" s="18">
        <v>12.97</v>
      </c>
      <c r="R144" s="18">
        <v>11.33</v>
      </c>
      <c r="S144" s="18">
        <v>6.08</v>
      </c>
      <c r="T144" s="18">
        <v>5665</v>
      </c>
      <c r="U144" s="18">
        <v>2625</v>
      </c>
      <c r="V144" s="5" t="s">
        <v>444</v>
      </c>
      <c r="W144" s="5" t="s">
        <v>413</v>
      </c>
      <c r="X144" s="5" t="s">
        <v>456</v>
      </c>
      <c r="Y144" s="5" t="s">
        <v>415</v>
      </c>
      <c r="Z144" s="5" t="s">
        <v>469</v>
      </c>
      <c r="AA144" s="5"/>
      <c r="AB144" s="5" t="s">
        <v>417</v>
      </c>
      <c r="AC144" s="5" t="s">
        <v>482</v>
      </c>
      <c r="AD144" s="18"/>
      <c r="AE144" s="5"/>
    </row>
    <row r="145" spans="1:31" ht="15" customHeight="1" x14ac:dyDescent="0.3">
      <c r="A145" s="5" t="s">
        <v>732</v>
      </c>
      <c r="B145" s="5" t="s">
        <v>733</v>
      </c>
      <c r="C145" s="5" t="s">
        <v>479</v>
      </c>
      <c r="D145" s="5" t="s">
        <v>550</v>
      </c>
      <c r="E145" s="5" t="s">
        <v>455</v>
      </c>
      <c r="F145" s="17">
        <v>2500</v>
      </c>
      <c r="G145" s="5" t="s">
        <v>411</v>
      </c>
      <c r="H145" s="18">
        <v>35</v>
      </c>
      <c r="I145" s="18">
        <v>34.86</v>
      </c>
      <c r="J145" s="18">
        <v>0.14000000000000001</v>
      </c>
      <c r="K145" s="18">
        <v>0.98</v>
      </c>
      <c r="L145" s="18">
        <v>0.88</v>
      </c>
      <c r="M145" s="18">
        <v>0.82</v>
      </c>
      <c r="N145" s="18">
        <v>1.5</v>
      </c>
      <c r="O145" s="18">
        <v>0</v>
      </c>
      <c r="P145" s="18">
        <v>0</v>
      </c>
      <c r="Q145" s="18">
        <v>33</v>
      </c>
      <c r="R145" s="18">
        <v>30.68</v>
      </c>
      <c r="S145" s="18">
        <v>14</v>
      </c>
      <c r="T145" s="18">
        <v>76700</v>
      </c>
      <c r="U145" s="18">
        <v>41700</v>
      </c>
      <c r="V145" s="5" t="s">
        <v>444</v>
      </c>
      <c r="W145" s="5" t="s">
        <v>424</v>
      </c>
      <c r="X145" s="5" t="s">
        <v>445</v>
      </c>
      <c r="Y145" s="5" t="s">
        <v>415</v>
      </c>
      <c r="Z145" s="5" t="s">
        <v>502</v>
      </c>
      <c r="AA145" s="5"/>
      <c r="AB145" s="5" t="s">
        <v>417</v>
      </c>
      <c r="AC145" s="5" t="s">
        <v>448</v>
      </c>
      <c r="AD145" s="18">
        <v>40.51</v>
      </c>
      <c r="AE145" s="19">
        <v>8.3000000000000004E-2</v>
      </c>
    </row>
    <row r="146" spans="1:31" ht="15" customHeight="1" x14ac:dyDescent="0.3">
      <c r="A146" s="5" t="s">
        <v>734</v>
      </c>
      <c r="B146" s="5" t="s">
        <v>735</v>
      </c>
      <c r="C146" s="5" t="s">
        <v>421</v>
      </c>
      <c r="D146" s="5" t="s">
        <v>507</v>
      </c>
      <c r="E146" s="5" t="s">
        <v>475</v>
      </c>
      <c r="F146" s="17">
        <v>5000</v>
      </c>
      <c r="G146" s="5" t="s">
        <v>433</v>
      </c>
      <c r="H146" s="18">
        <v>8.9</v>
      </c>
      <c r="I146" s="18">
        <v>8.11</v>
      </c>
      <c r="J146" s="18">
        <v>0.79</v>
      </c>
      <c r="K146" s="18">
        <v>0.21</v>
      </c>
      <c r="L146" s="18">
        <v>0.49</v>
      </c>
      <c r="M146" s="18">
        <v>0</v>
      </c>
      <c r="N146" s="18">
        <v>0.18</v>
      </c>
      <c r="O146" s="18">
        <v>0</v>
      </c>
      <c r="P146" s="18">
        <v>0</v>
      </c>
      <c r="Q146" s="18">
        <v>7.41</v>
      </c>
      <c r="R146" s="18">
        <v>7.23</v>
      </c>
      <c r="S146" s="18">
        <v>3.56</v>
      </c>
      <c r="T146" s="18">
        <v>36150</v>
      </c>
      <c r="U146" s="18">
        <v>18350</v>
      </c>
      <c r="V146" s="5" t="s">
        <v>412</v>
      </c>
      <c r="W146" s="5" t="s">
        <v>424</v>
      </c>
      <c r="X146" s="5" t="s">
        <v>425</v>
      </c>
      <c r="Y146" s="5" t="s">
        <v>426</v>
      </c>
      <c r="Z146" s="5"/>
      <c r="AA146" s="5"/>
      <c r="AB146" s="5" t="s">
        <v>417</v>
      </c>
      <c r="AC146" s="5" t="s">
        <v>448</v>
      </c>
      <c r="AD146" s="18">
        <v>11.43</v>
      </c>
      <c r="AE146" s="19">
        <v>0.183</v>
      </c>
    </row>
    <row r="147" spans="1:31" ht="15" customHeight="1" x14ac:dyDescent="0.3">
      <c r="A147" s="5" t="s">
        <v>736</v>
      </c>
      <c r="B147" s="5" t="s">
        <v>737</v>
      </c>
      <c r="C147" s="5" t="s">
        <v>485</v>
      </c>
      <c r="D147" s="5" t="s">
        <v>431</v>
      </c>
      <c r="E147" s="5" t="s">
        <v>475</v>
      </c>
      <c r="F147" s="17">
        <v>500</v>
      </c>
      <c r="G147" s="5" t="s">
        <v>433</v>
      </c>
      <c r="H147" s="18">
        <v>42</v>
      </c>
      <c r="I147" s="18">
        <v>40.85</v>
      </c>
      <c r="J147" s="18">
        <v>1.1499999999999999</v>
      </c>
      <c r="K147" s="18">
        <v>0.7</v>
      </c>
      <c r="L147" s="18">
        <v>1.26</v>
      </c>
      <c r="M147" s="18">
        <v>0</v>
      </c>
      <c r="N147" s="18">
        <v>0</v>
      </c>
      <c r="O147" s="18">
        <v>0</v>
      </c>
      <c r="P147" s="18">
        <v>0</v>
      </c>
      <c r="Q147" s="18">
        <v>38.89</v>
      </c>
      <c r="R147" s="18">
        <v>38.89</v>
      </c>
      <c r="S147" s="18">
        <v>16.8</v>
      </c>
      <c r="T147" s="18">
        <v>19445</v>
      </c>
      <c r="U147" s="18">
        <v>11045</v>
      </c>
      <c r="V147" s="5" t="s">
        <v>444</v>
      </c>
      <c r="W147" s="5" t="s">
        <v>413</v>
      </c>
      <c r="X147" s="5" t="s">
        <v>456</v>
      </c>
      <c r="Y147" s="5" t="s">
        <v>489</v>
      </c>
      <c r="Z147" s="5" t="s">
        <v>457</v>
      </c>
      <c r="AA147" s="5" t="s">
        <v>437</v>
      </c>
      <c r="AB147" s="5" t="s">
        <v>417</v>
      </c>
      <c r="AC147" s="5" t="s">
        <v>427</v>
      </c>
      <c r="AD147" s="18"/>
      <c r="AE147" s="5"/>
    </row>
    <row r="148" spans="1:31" ht="15" customHeight="1" x14ac:dyDescent="0.3">
      <c r="A148" s="5" t="s">
        <v>738</v>
      </c>
      <c r="B148" s="5" t="s">
        <v>739</v>
      </c>
      <c r="C148" s="5" t="s">
        <v>474</v>
      </c>
      <c r="D148" s="5" t="s">
        <v>451</v>
      </c>
      <c r="E148" s="5" t="s">
        <v>475</v>
      </c>
      <c r="F148" s="17">
        <v>200</v>
      </c>
      <c r="G148" s="5" t="s">
        <v>411</v>
      </c>
      <c r="H148" s="18">
        <v>15.2</v>
      </c>
      <c r="I148" s="18">
        <v>14.54</v>
      </c>
      <c r="J148" s="18">
        <v>0.66</v>
      </c>
      <c r="K148" s="18">
        <v>0.04</v>
      </c>
      <c r="L148" s="18">
        <v>1.1499999999999999</v>
      </c>
      <c r="M148" s="18">
        <v>0.46</v>
      </c>
      <c r="N148" s="18">
        <v>0</v>
      </c>
      <c r="O148" s="18">
        <v>0</v>
      </c>
      <c r="P148" s="18">
        <v>0</v>
      </c>
      <c r="Q148" s="18">
        <v>13.35</v>
      </c>
      <c r="R148" s="18">
        <v>12.89</v>
      </c>
      <c r="S148" s="18">
        <v>6.08</v>
      </c>
      <c r="T148" s="18">
        <v>2578</v>
      </c>
      <c r="U148" s="18">
        <v>1362</v>
      </c>
      <c r="V148" s="5" t="s">
        <v>434</v>
      </c>
      <c r="W148" s="5" t="s">
        <v>435</v>
      </c>
      <c r="X148" s="5" t="s">
        <v>456</v>
      </c>
      <c r="Y148" s="5" t="s">
        <v>415</v>
      </c>
      <c r="Z148" s="5" t="s">
        <v>638</v>
      </c>
      <c r="AA148" s="5"/>
      <c r="AB148" s="5" t="s">
        <v>417</v>
      </c>
      <c r="AC148" s="5" t="s">
        <v>482</v>
      </c>
      <c r="AD148" s="18">
        <v>17.05</v>
      </c>
      <c r="AE148" s="19">
        <v>0.13800000000000001</v>
      </c>
    </row>
    <row r="149" spans="1:31" ht="15" customHeight="1" x14ac:dyDescent="0.3">
      <c r="A149" s="5" t="s">
        <v>740</v>
      </c>
      <c r="B149" s="5" t="s">
        <v>562</v>
      </c>
      <c r="C149" s="5" t="s">
        <v>408</v>
      </c>
      <c r="D149" s="5" t="s">
        <v>507</v>
      </c>
      <c r="E149" s="5" t="s">
        <v>455</v>
      </c>
      <c r="F149" s="17">
        <v>50</v>
      </c>
      <c r="G149" s="5" t="s">
        <v>433</v>
      </c>
      <c r="H149" s="18">
        <v>8.9</v>
      </c>
      <c r="I149" s="18">
        <v>8.26</v>
      </c>
      <c r="J149" s="18">
        <v>0.64</v>
      </c>
      <c r="K149" s="18">
        <v>0.21</v>
      </c>
      <c r="L149" s="18">
        <v>0.61</v>
      </c>
      <c r="M149" s="18">
        <v>0</v>
      </c>
      <c r="N149" s="18">
        <v>0</v>
      </c>
      <c r="O149" s="18">
        <v>0.19</v>
      </c>
      <c r="P149" s="18">
        <v>0</v>
      </c>
      <c r="Q149" s="18">
        <v>7.25</v>
      </c>
      <c r="R149" s="18">
        <v>7.25</v>
      </c>
      <c r="S149" s="18">
        <v>3.56</v>
      </c>
      <c r="T149" s="18">
        <v>362.5</v>
      </c>
      <c r="U149" s="18">
        <v>184.5</v>
      </c>
      <c r="V149" s="5" t="s">
        <v>412</v>
      </c>
      <c r="W149" s="5" t="s">
        <v>413</v>
      </c>
      <c r="X149" s="5" t="s">
        <v>414</v>
      </c>
      <c r="Y149" s="5" t="s">
        <v>415</v>
      </c>
      <c r="Z149" s="5" t="s">
        <v>476</v>
      </c>
      <c r="AA149" s="5"/>
      <c r="AB149" s="5" t="s">
        <v>417</v>
      </c>
      <c r="AC149" s="5" t="s">
        <v>448</v>
      </c>
      <c r="AD149" s="18"/>
      <c r="AE149" s="5"/>
    </row>
    <row r="150" spans="1:31" ht="15" customHeight="1" x14ac:dyDescent="0.3">
      <c r="A150" s="5" t="s">
        <v>741</v>
      </c>
      <c r="B150" s="5" t="s">
        <v>723</v>
      </c>
      <c r="C150" s="5" t="s">
        <v>454</v>
      </c>
      <c r="D150" s="5" t="s">
        <v>431</v>
      </c>
      <c r="E150" s="5" t="s">
        <v>410</v>
      </c>
      <c r="F150" s="17">
        <v>200</v>
      </c>
      <c r="G150" s="5" t="s">
        <v>433</v>
      </c>
      <c r="H150" s="18">
        <v>42</v>
      </c>
      <c r="I150" s="18">
        <v>39.51</v>
      </c>
      <c r="J150" s="18">
        <v>2.4900000000000002</v>
      </c>
      <c r="K150" s="18">
        <v>0.08</v>
      </c>
      <c r="L150" s="18">
        <v>1.46</v>
      </c>
      <c r="M150" s="18">
        <v>0.81</v>
      </c>
      <c r="N150" s="18">
        <v>0</v>
      </c>
      <c r="O150" s="18">
        <v>0</v>
      </c>
      <c r="P150" s="18">
        <v>0</v>
      </c>
      <c r="Q150" s="18">
        <v>37.97</v>
      </c>
      <c r="R150" s="18">
        <v>37.159999999999997</v>
      </c>
      <c r="S150" s="18">
        <v>16.8</v>
      </c>
      <c r="T150" s="18">
        <v>7432</v>
      </c>
      <c r="U150" s="18">
        <v>4072</v>
      </c>
      <c r="V150" s="5" t="s">
        <v>444</v>
      </c>
      <c r="W150" s="5" t="s">
        <v>413</v>
      </c>
      <c r="X150" s="5" t="s">
        <v>456</v>
      </c>
      <c r="Y150" s="5" t="s">
        <v>426</v>
      </c>
      <c r="Z150" s="5"/>
      <c r="AA150" s="5"/>
      <c r="AB150" s="5" t="s">
        <v>417</v>
      </c>
      <c r="AC150" s="5" t="s">
        <v>418</v>
      </c>
      <c r="AD150" s="18"/>
      <c r="AE150" s="5"/>
    </row>
    <row r="151" spans="1:31" ht="15" customHeight="1" x14ac:dyDescent="0.3">
      <c r="A151" s="5" t="s">
        <v>742</v>
      </c>
      <c r="B151" s="5" t="s">
        <v>743</v>
      </c>
      <c r="C151" s="5" t="s">
        <v>408</v>
      </c>
      <c r="D151" s="5" t="s">
        <v>451</v>
      </c>
      <c r="E151" s="5" t="s">
        <v>410</v>
      </c>
      <c r="F151" s="17">
        <v>50</v>
      </c>
      <c r="G151" s="5" t="s">
        <v>411</v>
      </c>
      <c r="H151" s="18">
        <v>15.2</v>
      </c>
      <c r="I151" s="18">
        <v>13.47</v>
      </c>
      <c r="J151" s="18">
        <v>1.73</v>
      </c>
      <c r="K151" s="18">
        <v>0.15</v>
      </c>
      <c r="L151" s="18">
        <v>0.75</v>
      </c>
      <c r="M151" s="18">
        <v>0.2</v>
      </c>
      <c r="N151" s="18">
        <v>0</v>
      </c>
      <c r="O151" s="18">
        <v>0.39</v>
      </c>
      <c r="P151" s="18">
        <v>0.04</v>
      </c>
      <c r="Q151" s="18">
        <v>12.18</v>
      </c>
      <c r="R151" s="18">
        <v>11.94</v>
      </c>
      <c r="S151" s="18">
        <v>6.08</v>
      </c>
      <c r="T151" s="18">
        <v>597</v>
      </c>
      <c r="U151" s="18">
        <v>293</v>
      </c>
      <c r="V151" s="5" t="s">
        <v>412</v>
      </c>
      <c r="W151" s="5" t="s">
        <v>413</v>
      </c>
      <c r="X151" s="5" t="s">
        <v>414</v>
      </c>
      <c r="Y151" s="5" t="s">
        <v>489</v>
      </c>
      <c r="Z151" s="5" t="s">
        <v>547</v>
      </c>
      <c r="AA151" s="5"/>
      <c r="AB151" s="5" t="s">
        <v>417</v>
      </c>
      <c r="AC151" s="5" t="s">
        <v>418</v>
      </c>
      <c r="AD151" s="18"/>
      <c r="AE151" s="5"/>
    </row>
    <row r="152" spans="1:31" ht="15" customHeight="1" x14ac:dyDescent="0.3">
      <c r="A152" s="5" t="s">
        <v>744</v>
      </c>
      <c r="B152" s="5" t="s">
        <v>745</v>
      </c>
      <c r="C152" s="5" t="s">
        <v>575</v>
      </c>
      <c r="D152" s="5" t="s">
        <v>451</v>
      </c>
      <c r="E152" s="5" t="s">
        <v>475</v>
      </c>
      <c r="F152" s="17">
        <v>200</v>
      </c>
      <c r="G152" s="5" t="s">
        <v>411</v>
      </c>
      <c r="H152" s="18">
        <v>15.2</v>
      </c>
      <c r="I152" s="18">
        <v>14.67</v>
      </c>
      <c r="J152" s="18">
        <v>0.53</v>
      </c>
      <c r="K152" s="18">
        <v>0.32</v>
      </c>
      <c r="L152" s="18">
        <v>0.6</v>
      </c>
      <c r="M152" s="18">
        <v>0.15</v>
      </c>
      <c r="N152" s="18">
        <v>0</v>
      </c>
      <c r="O152" s="18">
        <v>0.18</v>
      </c>
      <c r="P152" s="18">
        <v>0</v>
      </c>
      <c r="Q152" s="18">
        <v>13.57</v>
      </c>
      <c r="R152" s="18">
        <v>13.42</v>
      </c>
      <c r="S152" s="18">
        <v>6.08</v>
      </c>
      <c r="T152" s="18">
        <v>2684</v>
      </c>
      <c r="U152" s="18">
        <v>1468</v>
      </c>
      <c r="V152" s="5" t="s">
        <v>412</v>
      </c>
      <c r="W152" s="5" t="s">
        <v>413</v>
      </c>
      <c r="X152" s="5" t="s">
        <v>414</v>
      </c>
      <c r="Y152" s="5" t="s">
        <v>415</v>
      </c>
      <c r="Z152" s="5" t="s">
        <v>416</v>
      </c>
      <c r="AA152" s="5"/>
      <c r="AB152" s="5" t="s">
        <v>417</v>
      </c>
      <c r="AC152" s="5" t="s">
        <v>418</v>
      </c>
      <c r="AD152" s="18"/>
      <c r="AE152" s="5"/>
    </row>
    <row r="153" spans="1:31" ht="15" customHeight="1" x14ac:dyDescent="0.3">
      <c r="A153" s="5" t="s">
        <v>746</v>
      </c>
      <c r="B153" s="5" t="s">
        <v>747</v>
      </c>
      <c r="C153" s="5" t="s">
        <v>421</v>
      </c>
      <c r="D153" s="5" t="s">
        <v>409</v>
      </c>
      <c r="E153" s="5" t="s">
        <v>475</v>
      </c>
      <c r="F153" s="17">
        <v>2500</v>
      </c>
      <c r="G153" s="5" t="s">
        <v>411</v>
      </c>
      <c r="H153" s="18">
        <v>8.5</v>
      </c>
      <c r="I153" s="18">
        <v>8.2899999999999991</v>
      </c>
      <c r="J153" s="18">
        <v>0.21</v>
      </c>
      <c r="K153" s="18">
        <v>0.2</v>
      </c>
      <c r="L153" s="18">
        <v>0.56999999999999995</v>
      </c>
      <c r="M153" s="18">
        <v>0</v>
      </c>
      <c r="N153" s="18">
        <v>0.41</v>
      </c>
      <c r="O153" s="18">
        <v>0</v>
      </c>
      <c r="P153" s="18">
        <v>0</v>
      </c>
      <c r="Q153" s="18">
        <v>7.52</v>
      </c>
      <c r="R153" s="18">
        <v>7.11</v>
      </c>
      <c r="S153" s="18">
        <v>3.4</v>
      </c>
      <c r="T153" s="18">
        <v>17775</v>
      </c>
      <c r="U153" s="18">
        <v>9275</v>
      </c>
      <c r="V153" s="5" t="s">
        <v>412</v>
      </c>
      <c r="W153" s="5" t="s">
        <v>424</v>
      </c>
      <c r="X153" s="5" t="s">
        <v>425</v>
      </c>
      <c r="Y153" s="5" t="s">
        <v>489</v>
      </c>
      <c r="Z153" s="5" t="s">
        <v>436</v>
      </c>
      <c r="AA153" s="5"/>
      <c r="AB153" s="5" t="s">
        <v>417</v>
      </c>
      <c r="AC153" s="5" t="s">
        <v>418</v>
      </c>
      <c r="AD153" s="18">
        <v>10.71</v>
      </c>
      <c r="AE153" s="19">
        <v>0.10199999999999999</v>
      </c>
    </row>
    <row r="154" spans="1:31" ht="15" customHeight="1" x14ac:dyDescent="0.3">
      <c r="A154" s="5" t="s">
        <v>748</v>
      </c>
      <c r="B154" s="5" t="s">
        <v>749</v>
      </c>
      <c r="C154" s="5" t="s">
        <v>474</v>
      </c>
      <c r="D154" s="5" t="s">
        <v>521</v>
      </c>
      <c r="E154" s="5" t="s">
        <v>475</v>
      </c>
      <c r="F154" s="17">
        <v>1000</v>
      </c>
      <c r="G154" s="5" t="s">
        <v>411</v>
      </c>
      <c r="H154" s="18">
        <v>12.75</v>
      </c>
      <c r="I154" s="18">
        <v>12.02</v>
      </c>
      <c r="J154" s="18">
        <v>0.73</v>
      </c>
      <c r="K154" s="18">
        <v>0.15</v>
      </c>
      <c r="L154" s="18">
        <v>0.52</v>
      </c>
      <c r="M154" s="18">
        <v>0.35</v>
      </c>
      <c r="N154" s="18">
        <v>0</v>
      </c>
      <c r="O154" s="18">
        <v>0.14000000000000001</v>
      </c>
      <c r="P154" s="18">
        <v>0.14000000000000001</v>
      </c>
      <c r="Q154" s="18">
        <v>11.21</v>
      </c>
      <c r="R154" s="18">
        <v>10.72</v>
      </c>
      <c r="S154" s="18">
        <v>5.0999999999999996</v>
      </c>
      <c r="T154" s="18">
        <v>10720</v>
      </c>
      <c r="U154" s="18">
        <v>5620</v>
      </c>
      <c r="V154" s="5" t="s">
        <v>434</v>
      </c>
      <c r="W154" s="5" t="s">
        <v>435</v>
      </c>
      <c r="X154" s="5" t="s">
        <v>456</v>
      </c>
      <c r="Y154" s="5" t="s">
        <v>426</v>
      </c>
      <c r="Z154" s="5"/>
      <c r="AA154" s="5"/>
      <c r="AB154" s="5" t="s">
        <v>417</v>
      </c>
      <c r="AC154" s="5" t="s">
        <v>418</v>
      </c>
      <c r="AD154" s="18">
        <v>16</v>
      </c>
      <c r="AE154" s="19">
        <v>8.7999999999999995E-2</v>
      </c>
    </row>
    <row r="155" spans="1:31" ht="15" customHeight="1" x14ac:dyDescent="0.3">
      <c r="A155" s="5" t="s">
        <v>750</v>
      </c>
      <c r="B155" s="5" t="s">
        <v>751</v>
      </c>
      <c r="C155" s="5" t="s">
        <v>575</v>
      </c>
      <c r="D155" s="5" t="s">
        <v>451</v>
      </c>
      <c r="E155" s="5" t="s">
        <v>455</v>
      </c>
      <c r="F155" s="17">
        <v>50</v>
      </c>
      <c r="G155" s="5" t="s">
        <v>411</v>
      </c>
      <c r="H155" s="18">
        <v>15.2</v>
      </c>
      <c r="I155" s="18">
        <v>14.17</v>
      </c>
      <c r="J155" s="18">
        <v>1.03</v>
      </c>
      <c r="K155" s="18">
        <v>0.28999999999999998</v>
      </c>
      <c r="L155" s="18">
        <v>0.79</v>
      </c>
      <c r="M155" s="18">
        <v>0.2</v>
      </c>
      <c r="N155" s="18">
        <v>0.1</v>
      </c>
      <c r="O155" s="18">
        <v>0</v>
      </c>
      <c r="P155" s="18">
        <v>0</v>
      </c>
      <c r="Q155" s="18">
        <v>13.09</v>
      </c>
      <c r="R155" s="18">
        <v>12.79</v>
      </c>
      <c r="S155" s="18">
        <v>6.08</v>
      </c>
      <c r="T155" s="18">
        <v>639.5</v>
      </c>
      <c r="U155" s="18">
        <v>335.5</v>
      </c>
      <c r="V155" s="5" t="s">
        <v>412</v>
      </c>
      <c r="W155" s="5" t="s">
        <v>413</v>
      </c>
      <c r="X155" s="5" t="s">
        <v>414</v>
      </c>
      <c r="Y155" s="5" t="s">
        <v>415</v>
      </c>
      <c r="Z155" s="5" t="s">
        <v>547</v>
      </c>
      <c r="AA155" s="5"/>
      <c r="AB155" s="5" t="s">
        <v>417</v>
      </c>
      <c r="AC155" s="5" t="s">
        <v>418</v>
      </c>
      <c r="AD155" s="18"/>
      <c r="AE155" s="5"/>
    </row>
    <row r="156" spans="1:31" ht="15" customHeight="1" x14ac:dyDescent="0.3">
      <c r="A156" s="5" t="s">
        <v>752</v>
      </c>
      <c r="B156" s="5" t="s">
        <v>753</v>
      </c>
      <c r="C156" s="5" t="s">
        <v>575</v>
      </c>
      <c r="D156" s="5" t="s">
        <v>422</v>
      </c>
      <c r="E156" s="5" t="s">
        <v>475</v>
      </c>
      <c r="F156" s="17">
        <v>5000</v>
      </c>
      <c r="G156" s="5" t="s">
        <v>411</v>
      </c>
      <c r="H156" s="18">
        <v>3.2</v>
      </c>
      <c r="I156" s="18">
        <v>2.94</v>
      </c>
      <c r="J156" s="18">
        <v>0.26</v>
      </c>
      <c r="K156" s="18">
        <v>7.0000000000000007E-2</v>
      </c>
      <c r="L156" s="18">
        <v>0.04</v>
      </c>
      <c r="M156" s="18">
        <v>0.06</v>
      </c>
      <c r="N156" s="18">
        <v>0</v>
      </c>
      <c r="O156" s="18">
        <v>0.01</v>
      </c>
      <c r="P156" s="18">
        <v>0.05</v>
      </c>
      <c r="Q156" s="18">
        <v>2.82</v>
      </c>
      <c r="R156" s="18">
        <v>2.71</v>
      </c>
      <c r="S156" s="18">
        <v>1.28</v>
      </c>
      <c r="T156" s="18">
        <v>13550</v>
      </c>
      <c r="U156" s="18">
        <v>7150</v>
      </c>
      <c r="V156" s="5" t="s">
        <v>412</v>
      </c>
      <c r="W156" s="5" t="s">
        <v>413</v>
      </c>
      <c r="X156" s="5" t="s">
        <v>414</v>
      </c>
      <c r="Y156" s="5" t="s">
        <v>489</v>
      </c>
      <c r="Z156" s="5" t="s">
        <v>700</v>
      </c>
      <c r="AA156" s="5"/>
      <c r="AB156" s="5" t="s">
        <v>417</v>
      </c>
      <c r="AC156" s="5" t="s">
        <v>418</v>
      </c>
      <c r="AD156" s="18"/>
      <c r="AE156" s="5"/>
    </row>
    <row r="157" spans="1:31" ht="15" customHeight="1" x14ac:dyDescent="0.3">
      <c r="A157" s="5" t="s">
        <v>754</v>
      </c>
      <c r="B157" s="5" t="s">
        <v>755</v>
      </c>
      <c r="C157" s="5" t="s">
        <v>443</v>
      </c>
      <c r="D157" s="5" t="s">
        <v>507</v>
      </c>
      <c r="E157" s="5" t="s">
        <v>475</v>
      </c>
      <c r="F157" s="17">
        <v>50</v>
      </c>
      <c r="G157" s="5" t="s">
        <v>433</v>
      </c>
      <c r="H157" s="18">
        <v>8.9</v>
      </c>
      <c r="I157" s="18">
        <v>8.43</v>
      </c>
      <c r="J157" s="18">
        <v>0.47</v>
      </c>
      <c r="K157" s="18">
        <v>0.19</v>
      </c>
      <c r="L157" s="18">
        <v>0.23</v>
      </c>
      <c r="M157" s="18">
        <v>0</v>
      </c>
      <c r="N157" s="18">
        <v>0.06</v>
      </c>
      <c r="O157" s="18">
        <v>0.17</v>
      </c>
      <c r="P157" s="18">
        <v>0</v>
      </c>
      <c r="Q157" s="18">
        <v>7.84</v>
      </c>
      <c r="R157" s="18">
        <v>7.78</v>
      </c>
      <c r="S157" s="18">
        <v>3.56</v>
      </c>
      <c r="T157" s="18">
        <v>389</v>
      </c>
      <c r="U157" s="18">
        <v>211</v>
      </c>
      <c r="V157" s="5" t="s">
        <v>444</v>
      </c>
      <c r="W157" s="5" t="s">
        <v>413</v>
      </c>
      <c r="X157" s="5" t="s">
        <v>445</v>
      </c>
      <c r="Y157" s="5" t="s">
        <v>415</v>
      </c>
      <c r="Z157" s="5" t="s">
        <v>416</v>
      </c>
      <c r="AA157" s="5" t="s">
        <v>510</v>
      </c>
      <c r="AB157" s="5" t="s">
        <v>417</v>
      </c>
      <c r="AC157" s="5" t="s">
        <v>418</v>
      </c>
      <c r="AD157" s="18"/>
      <c r="AE157" s="5"/>
    </row>
    <row r="158" spans="1:31" ht="15" customHeight="1" x14ac:dyDescent="0.3">
      <c r="A158" s="5" t="s">
        <v>756</v>
      </c>
      <c r="B158" s="5" t="s">
        <v>757</v>
      </c>
      <c r="C158" s="5" t="s">
        <v>454</v>
      </c>
      <c r="D158" s="5" t="s">
        <v>507</v>
      </c>
      <c r="E158" s="5" t="s">
        <v>455</v>
      </c>
      <c r="F158" s="17">
        <v>500</v>
      </c>
      <c r="G158" s="5" t="s">
        <v>433</v>
      </c>
      <c r="H158" s="18">
        <v>8.9</v>
      </c>
      <c r="I158" s="18">
        <v>7.88</v>
      </c>
      <c r="J158" s="18">
        <v>1.02</v>
      </c>
      <c r="K158" s="18">
        <v>0.06</v>
      </c>
      <c r="L158" s="18">
        <v>0.28999999999999998</v>
      </c>
      <c r="M158" s="18">
        <v>0</v>
      </c>
      <c r="N158" s="18">
        <v>0.23</v>
      </c>
      <c r="O158" s="18">
        <v>0</v>
      </c>
      <c r="P158" s="18">
        <v>0</v>
      </c>
      <c r="Q158" s="18">
        <v>7.53</v>
      </c>
      <c r="R158" s="18">
        <v>7.3</v>
      </c>
      <c r="S158" s="18">
        <v>3.56</v>
      </c>
      <c r="T158" s="18">
        <v>3650</v>
      </c>
      <c r="U158" s="18">
        <v>1870</v>
      </c>
      <c r="V158" s="5" t="s">
        <v>444</v>
      </c>
      <c r="W158" s="5" t="s">
        <v>413</v>
      </c>
      <c r="X158" s="5" t="s">
        <v>456</v>
      </c>
      <c r="Y158" s="5" t="s">
        <v>415</v>
      </c>
      <c r="Z158" s="5" t="s">
        <v>638</v>
      </c>
      <c r="AA158" s="5"/>
      <c r="AB158" s="5" t="s">
        <v>417</v>
      </c>
      <c r="AC158" s="5" t="s">
        <v>448</v>
      </c>
      <c r="AD158" s="18"/>
      <c r="AE158" s="5"/>
    </row>
    <row r="159" spans="1:31" ht="15" customHeight="1" x14ac:dyDescent="0.3">
      <c r="A159" s="5" t="s">
        <v>758</v>
      </c>
      <c r="B159" s="5" t="s">
        <v>759</v>
      </c>
      <c r="C159" s="5" t="s">
        <v>531</v>
      </c>
      <c r="D159" s="5" t="s">
        <v>440</v>
      </c>
      <c r="E159" s="5" t="s">
        <v>410</v>
      </c>
      <c r="F159" s="17">
        <v>5000</v>
      </c>
      <c r="G159" s="5" t="s">
        <v>411</v>
      </c>
      <c r="H159" s="18">
        <v>0.45</v>
      </c>
      <c r="I159" s="18">
        <v>0.41</v>
      </c>
      <c r="J159" s="18">
        <v>0.04</v>
      </c>
      <c r="K159" s="18">
        <v>0.01</v>
      </c>
      <c r="L159" s="18">
        <v>0.02</v>
      </c>
      <c r="M159" s="18">
        <v>0.01</v>
      </c>
      <c r="N159" s="18">
        <v>0</v>
      </c>
      <c r="O159" s="18">
        <v>0</v>
      </c>
      <c r="P159" s="18">
        <v>0</v>
      </c>
      <c r="Q159" s="18">
        <v>0.38</v>
      </c>
      <c r="R159" s="18">
        <v>0.37</v>
      </c>
      <c r="S159" s="18">
        <v>0.18</v>
      </c>
      <c r="T159" s="18">
        <v>1850</v>
      </c>
      <c r="U159" s="18">
        <v>950</v>
      </c>
      <c r="V159" s="5" t="s">
        <v>434</v>
      </c>
      <c r="W159" s="5" t="s">
        <v>435</v>
      </c>
      <c r="X159" s="5" t="s">
        <v>425</v>
      </c>
      <c r="Y159" s="5" t="s">
        <v>426</v>
      </c>
      <c r="Z159" s="5"/>
      <c r="AA159" s="5"/>
      <c r="AB159" s="5" t="s">
        <v>417</v>
      </c>
      <c r="AC159" s="5" t="s">
        <v>427</v>
      </c>
      <c r="AD159" s="18">
        <v>0.55000000000000004</v>
      </c>
      <c r="AE159" s="19">
        <v>0.17100000000000001</v>
      </c>
    </row>
    <row r="160" spans="1:31" ht="15" customHeight="1" x14ac:dyDescent="0.3">
      <c r="A160" s="5" t="s">
        <v>760</v>
      </c>
      <c r="B160" s="5" t="s">
        <v>633</v>
      </c>
      <c r="C160" s="5" t="s">
        <v>474</v>
      </c>
      <c r="D160" s="5" t="s">
        <v>492</v>
      </c>
      <c r="E160" s="5" t="s">
        <v>475</v>
      </c>
      <c r="F160" s="17">
        <v>1000</v>
      </c>
      <c r="G160" s="5" t="s">
        <v>411</v>
      </c>
      <c r="H160" s="18">
        <v>28</v>
      </c>
      <c r="I160" s="18">
        <v>27.62</v>
      </c>
      <c r="J160" s="18">
        <v>0.38</v>
      </c>
      <c r="K160" s="18">
        <v>0.3</v>
      </c>
      <c r="L160" s="18">
        <v>1.03</v>
      </c>
      <c r="M160" s="18">
        <v>0</v>
      </c>
      <c r="N160" s="18">
        <v>1.35</v>
      </c>
      <c r="O160" s="18">
        <v>0.5</v>
      </c>
      <c r="P160" s="18">
        <v>0</v>
      </c>
      <c r="Q160" s="18">
        <v>25.79</v>
      </c>
      <c r="R160" s="18">
        <v>24.44</v>
      </c>
      <c r="S160" s="18">
        <v>11.2</v>
      </c>
      <c r="T160" s="18">
        <v>24440</v>
      </c>
      <c r="U160" s="18">
        <v>13240</v>
      </c>
      <c r="V160" s="5" t="s">
        <v>434</v>
      </c>
      <c r="W160" s="5" t="s">
        <v>435</v>
      </c>
      <c r="X160" s="5" t="s">
        <v>456</v>
      </c>
      <c r="Y160" s="5" t="s">
        <v>489</v>
      </c>
      <c r="Z160" s="5" t="s">
        <v>496</v>
      </c>
      <c r="AA160" s="5"/>
      <c r="AB160" s="5" t="s">
        <v>417</v>
      </c>
      <c r="AC160" s="5" t="s">
        <v>482</v>
      </c>
      <c r="AD160" s="18">
        <v>36.39</v>
      </c>
      <c r="AE160" s="19">
        <v>0.24199999999999999</v>
      </c>
    </row>
    <row r="161" spans="1:31" ht="15" customHeight="1" x14ac:dyDescent="0.3">
      <c r="A161" s="5" t="s">
        <v>761</v>
      </c>
      <c r="B161" s="5" t="s">
        <v>478</v>
      </c>
      <c r="C161" s="5" t="s">
        <v>575</v>
      </c>
      <c r="D161" s="5" t="s">
        <v>451</v>
      </c>
      <c r="E161" s="5" t="s">
        <v>455</v>
      </c>
      <c r="F161" s="17">
        <v>500</v>
      </c>
      <c r="G161" s="5" t="s">
        <v>411</v>
      </c>
      <c r="H161" s="18">
        <v>15.2</v>
      </c>
      <c r="I161" s="18">
        <v>14.44</v>
      </c>
      <c r="J161" s="18">
        <v>0.76</v>
      </c>
      <c r="K161" s="18">
        <v>0.06</v>
      </c>
      <c r="L161" s="18">
        <v>0.47</v>
      </c>
      <c r="M161" s="18">
        <v>0</v>
      </c>
      <c r="N161" s="18">
        <v>0.63</v>
      </c>
      <c r="O161" s="18">
        <v>0</v>
      </c>
      <c r="P161" s="18">
        <v>0.17</v>
      </c>
      <c r="Q161" s="18">
        <v>13.91</v>
      </c>
      <c r="R161" s="18">
        <v>13.11</v>
      </c>
      <c r="S161" s="18">
        <v>6.08</v>
      </c>
      <c r="T161" s="18">
        <v>6555</v>
      </c>
      <c r="U161" s="18">
        <v>3515</v>
      </c>
      <c r="V161" s="5" t="s">
        <v>412</v>
      </c>
      <c r="W161" s="5" t="s">
        <v>413</v>
      </c>
      <c r="X161" s="5" t="s">
        <v>414</v>
      </c>
      <c r="Y161" s="5" t="s">
        <v>426</v>
      </c>
      <c r="Z161" s="5"/>
      <c r="AA161" s="5"/>
      <c r="AB161" s="5" t="s">
        <v>417</v>
      </c>
      <c r="AC161" s="5" t="s">
        <v>418</v>
      </c>
      <c r="AD161" s="18"/>
      <c r="AE161" s="5"/>
    </row>
    <row r="162" spans="1:31" ht="15" customHeight="1" x14ac:dyDescent="0.3">
      <c r="A162" s="5" t="s">
        <v>762</v>
      </c>
      <c r="B162" s="5" t="s">
        <v>763</v>
      </c>
      <c r="C162" s="5" t="s">
        <v>443</v>
      </c>
      <c r="D162" s="5" t="s">
        <v>492</v>
      </c>
      <c r="E162" s="5" t="s">
        <v>432</v>
      </c>
      <c r="F162" s="17">
        <v>5000</v>
      </c>
      <c r="G162" s="5" t="s">
        <v>411</v>
      </c>
      <c r="H162" s="18">
        <v>28</v>
      </c>
      <c r="I162" s="18">
        <v>26.79</v>
      </c>
      <c r="J162" s="18">
        <v>1.21</v>
      </c>
      <c r="K162" s="18">
        <v>0.01</v>
      </c>
      <c r="L162" s="18">
        <v>0.31</v>
      </c>
      <c r="M162" s="18">
        <v>1.08</v>
      </c>
      <c r="N162" s="18">
        <v>0</v>
      </c>
      <c r="O162" s="18">
        <v>0</v>
      </c>
      <c r="P162" s="18">
        <v>0</v>
      </c>
      <c r="Q162" s="18">
        <v>26.47</v>
      </c>
      <c r="R162" s="18">
        <v>25.39</v>
      </c>
      <c r="S162" s="18">
        <v>11.2</v>
      </c>
      <c r="T162" s="18">
        <v>126950</v>
      </c>
      <c r="U162" s="18">
        <v>70950</v>
      </c>
      <c r="V162" s="5" t="s">
        <v>444</v>
      </c>
      <c r="W162" s="5" t="s">
        <v>413</v>
      </c>
      <c r="X162" s="5" t="s">
        <v>445</v>
      </c>
      <c r="Y162" s="5" t="s">
        <v>426</v>
      </c>
      <c r="Z162" s="5"/>
      <c r="AA162" s="5" t="s">
        <v>466</v>
      </c>
      <c r="AB162" s="5" t="s">
        <v>417</v>
      </c>
      <c r="AC162" s="5" t="s">
        <v>448</v>
      </c>
      <c r="AD162" s="18"/>
      <c r="AE162" s="5"/>
    </row>
    <row r="163" spans="1:31" ht="15" customHeight="1" x14ac:dyDescent="0.3">
      <c r="A163" s="5" t="s">
        <v>764</v>
      </c>
      <c r="B163" s="5" t="s">
        <v>765</v>
      </c>
      <c r="C163" s="5" t="s">
        <v>408</v>
      </c>
      <c r="D163" s="5" t="s">
        <v>492</v>
      </c>
      <c r="E163" s="5" t="s">
        <v>432</v>
      </c>
      <c r="F163" s="17">
        <v>5000</v>
      </c>
      <c r="G163" s="5" t="s">
        <v>411</v>
      </c>
      <c r="H163" s="18">
        <v>28</v>
      </c>
      <c r="I163" s="18">
        <v>25.44</v>
      </c>
      <c r="J163" s="18">
        <v>2.56</v>
      </c>
      <c r="K163" s="18">
        <v>0.25</v>
      </c>
      <c r="L163" s="18">
        <v>0.62</v>
      </c>
      <c r="M163" s="18">
        <v>0.19</v>
      </c>
      <c r="N163" s="18">
        <v>0</v>
      </c>
      <c r="O163" s="18">
        <v>0.64</v>
      </c>
      <c r="P163" s="18">
        <v>0</v>
      </c>
      <c r="Q163" s="18">
        <v>23.93</v>
      </c>
      <c r="R163" s="18">
        <v>23.74</v>
      </c>
      <c r="S163" s="18">
        <v>11.2</v>
      </c>
      <c r="T163" s="18">
        <v>118700</v>
      </c>
      <c r="U163" s="18">
        <v>62700</v>
      </c>
      <c r="V163" s="5" t="s">
        <v>412</v>
      </c>
      <c r="W163" s="5" t="s">
        <v>413</v>
      </c>
      <c r="X163" s="5" t="s">
        <v>414</v>
      </c>
      <c r="Y163" s="5" t="s">
        <v>426</v>
      </c>
      <c r="Z163" s="5"/>
      <c r="AA163" s="5"/>
      <c r="AB163" s="5" t="s">
        <v>417</v>
      </c>
      <c r="AC163" s="5" t="s">
        <v>427</v>
      </c>
      <c r="AD163" s="18"/>
      <c r="AE163" s="5"/>
    </row>
    <row r="164" spans="1:31" ht="15" customHeight="1" x14ac:dyDescent="0.3">
      <c r="A164" s="5" t="s">
        <v>766</v>
      </c>
      <c r="B164" s="5" t="s">
        <v>767</v>
      </c>
      <c r="C164" s="5" t="s">
        <v>575</v>
      </c>
      <c r="D164" s="5" t="s">
        <v>550</v>
      </c>
      <c r="E164" s="5" t="s">
        <v>432</v>
      </c>
      <c r="F164" s="17">
        <v>5000</v>
      </c>
      <c r="G164" s="5" t="s">
        <v>411</v>
      </c>
      <c r="H164" s="18">
        <v>35</v>
      </c>
      <c r="I164" s="18">
        <v>31.98</v>
      </c>
      <c r="J164" s="18">
        <v>3.02</v>
      </c>
      <c r="K164" s="18">
        <v>0.56999999999999995</v>
      </c>
      <c r="L164" s="18">
        <v>2.77</v>
      </c>
      <c r="M164" s="18">
        <v>0</v>
      </c>
      <c r="N164" s="18">
        <v>1.58</v>
      </c>
      <c r="O164" s="18">
        <v>0</v>
      </c>
      <c r="P164" s="18">
        <v>0.31</v>
      </c>
      <c r="Q164" s="18">
        <v>28.64</v>
      </c>
      <c r="R164" s="18">
        <v>26.75</v>
      </c>
      <c r="S164" s="18">
        <v>14</v>
      </c>
      <c r="T164" s="18">
        <v>133750</v>
      </c>
      <c r="U164" s="18">
        <v>63750</v>
      </c>
      <c r="V164" s="5" t="s">
        <v>412</v>
      </c>
      <c r="W164" s="5" t="s">
        <v>413</v>
      </c>
      <c r="X164" s="5" t="s">
        <v>414</v>
      </c>
      <c r="Y164" s="5" t="s">
        <v>489</v>
      </c>
      <c r="Z164" s="5" t="s">
        <v>700</v>
      </c>
      <c r="AA164" s="5" t="s">
        <v>437</v>
      </c>
      <c r="AB164" s="5" t="s">
        <v>417</v>
      </c>
      <c r="AC164" s="5" t="s">
        <v>482</v>
      </c>
      <c r="AD164" s="18"/>
      <c r="AE164" s="5"/>
    </row>
    <row r="165" spans="1:31" ht="15" customHeight="1" x14ac:dyDescent="0.3">
      <c r="A165" s="5" t="s">
        <v>768</v>
      </c>
      <c r="B165" s="5" t="s">
        <v>504</v>
      </c>
      <c r="C165" s="5" t="s">
        <v>531</v>
      </c>
      <c r="D165" s="5" t="s">
        <v>492</v>
      </c>
      <c r="E165" s="5" t="s">
        <v>410</v>
      </c>
      <c r="F165" s="17">
        <v>5000</v>
      </c>
      <c r="G165" s="5" t="s">
        <v>411</v>
      </c>
      <c r="H165" s="18">
        <v>28</v>
      </c>
      <c r="I165" s="18">
        <v>25.61</v>
      </c>
      <c r="J165" s="18">
        <v>2.39</v>
      </c>
      <c r="K165" s="18">
        <v>0.53</v>
      </c>
      <c r="L165" s="18">
        <v>0.37</v>
      </c>
      <c r="M165" s="18">
        <v>0</v>
      </c>
      <c r="N165" s="18">
        <v>0</v>
      </c>
      <c r="O165" s="18">
        <v>0</v>
      </c>
      <c r="P165" s="18">
        <v>0</v>
      </c>
      <c r="Q165" s="18">
        <v>24.71</v>
      </c>
      <c r="R165" s="18">
        <v>24.71</v>
      </c>
      <c r="S165" s="18">
        <v>11.2</v>
      </c>
      <c r="T165" s="18">
        <v>123550</v>
      </c>
      <c r="U165" s="18">
        <v>67550</v>
      </c>
      <c r="V165" s="5" t="s">
        <v>434</v>
      </c>
      <c r="W165" s="5" t="s">
        <v>435</v>
      </c>
      <c r="X165" s="5" t="s">
        <v>425</v>
      </c>
      <c r="Y165" s="5" t="s">
        <v>489</v>
      </c>
      <c r="Z165" s="5" t="s">
        <v>502</v>
      </c>
      <c r="AA165" s="5"/>
      <c r="AB165" s="5" t="s">
        <v>417</v>
      </c>
      <c r="AC165" s="5" t="s">
        <v>418</v>
      </c>
      <c r="AD165" s="18">
        <v>34.340000000000003</v>
      </c>
      <c r="AE165" s="19">
        <v>0.17499999999999999</v>
      </c>
    </row>
    <row r="166" spans="1:31" ht="15" customHeight="1" x14ac:dyDescent="0.3">
      <c r="A166" s="5" t="s">
        <v>769</v>
      </c>
      <c r="B166" s="5" t="s">
        <v>770</v>
      </c>
      <c r="C166" s="5" t="s">
        <v>479</v>
      </c>
      <c r="D166" s="5" t="s">
        <v>431</v>
      </c>
      <c r="E166" s="5" t="s">
        <v>455</v>
      </c>
      <c r="F166" s="17">
        <v>200</v>
      </c>
      <c r="G166" s="5" t="s">
        <v>433</v>
      </c>
      <c r="H166" s="18">
        <v>42</v>
      </c>
      <c r="I166" s="18">
        <v>37.200000000000003</v>
      </c>
      <c r="J166" s="18">
        <v>4.8</v>
      </c>
      <c r="K166" s="18">
        <v>0.65</v>
      </c>
      <c r="L166" s="18">
        <v>3.02</v>
      </c>
      <c r="M166" s="18">
        <v>0.23</v>
      </c>
      <c r="N166" s="18">
        <v>1.04</v>
      </c>
      <c r="O166" s="18">
        <v>0</v>
      </c>
      <c r="P166" s="18">
        <v>0</v>
      </c>
      <c r="Q166" s="18">
        <v>33.53</v>
      </c>
      <c r="R166" s="18">
        <v>32.26</v>
      </c>
      <c r="S166" s="18">
        <v>16.8</v>
      </c>
      <c r="T166" s="18">
        <v>6452</v>
      </c>
      <c r="U166" s="18">
        <v>3092</v>
      </c>
      <c r="V166" s="5" t="s">
        <v>444</v>
      </c>
      <c r="W166" s="5" t="s">
        <v>424</v>
      </c>
      <c r="X166" s="5" t="s">
        <v>445</v>
      </c>
      <c r="Y166" s="5" t="s">
        <v>415</v>
      </c>
      <c r="Z166" s="5" t="s">
        <v>446</v>
      </c>
      <c r="AA166" s="5" t="s">
        <v>510</v>
      </c>
      <c r="AB166" s="5" t="s">
        <v>417</v>
      </c>
      <c r="AC166" s="5" t="s">
        <v>418</v>
      </c>
      <c r="AD166" s="18">
        <v>45.2</v>
      </c>
      <c r="AE166" s="19">
        <v>0.222</v>
      </c>
    </row>
    <row r="167" spans="1:31" ht="15" customHeight="1" x14ac:dyDescent="0.3">
      <c r="A167" s="5" t="s">
        <v>771</v>
      </c>
      <c r="B167" s="5" t="s">
        <v>772</v>
      </c>
      <c r="C167" s="5" t="s">
        <v>575</v>
      </c>
      <c r="D167" s="5" t="s">
        <v>440</v>
      </c>
      <c r="E167" s="5" t="s">
        <v>475</v>
      </c>
      <c r="F167" s="17">
        <v>500</v>
      </c>
      <c r="G167" s="5" t="s">
        <v>411</v>
      </c>
      <c r="H167" s="18">
        <v>0.45</v>
      </c>
      <c r="I167" s="18">
        <v>0.44</v>
      </c>
      <c r="J167" s="18">
        <v>0.01</v>
      </c>
      <c r="K167" s="18">
        <v>0.01</v>
      </c>
      <c r="L167" s="18">
        <v>0.02</v>
      </c>
      <c r="M167" s="18">
        <v>0</v>
      </c>
      <c r="N167" s="18">
        <v>0</v>
      </c>
      <c r="O167" s="18">
        <v>0.01</v>
      </c>
      <c r="P167" s="18">
        <v>0</v>
      </c>
      <c r="Q167" s="18">
        <v>0.4</v>
      </c>
      <c r="R167" s="18">
        <v>0.4</v>
      </c>
      <c r="S167" s="18">
        <v>0.18</v>
      </c>
      <c r="T167" s="18">
        <v>200</v>
      </c>
      <c r="U167" s="18">
        <v>110</v>
      </c>
      <c r="V167" s="5" t="s">
        <v>412</v>
      </c>
      <c r="W167" s="5" t="s">
        <v>413</v>
      </c>
      <c r="X167" s="5" t="s">
        <v>414</v>
      </c>
      <c r="Y167" s="5" t="s">
        <v>489</v>
      </c>
      <c r="Z167" s="5" t="s">
        <v>486</v>
      </c>
      <c r="AA167" s="5"/>
      <c r="AB167" s="5" t="s">
        <v>417</v>
      </c>
      <c r="AC167" s="5" t="s">
        <v>427</v>
      </c>
      <c r="AD167" s="18"/>
      <c r="AE167" s="5"/>
    </row>
    <row r="168" spans="1:31" ht="15" customHeight="1" x14ac:dyDescent="0.3">
      <c r="A168" s="5" t="s">
        <v>773</v>
      </c>
      <c r="B168" s="5" t="s">
        <v>566</v>
      </c>
      <c r="C168" s="5" t="s">
        <v>443</v>
      </c>
      <c r="D168" s="5" t="s">
        <v>507</v>
      </c>
      <c r="E168" s="5" t="s">
        <v>455</v>
      </c>
      <c r="F168" s="17">
        <v>50</v>
      </c>
      <c r="G168" s="5" t="s">
        <v>433</v>
      </c>
      <c r="H168" s="18">
        <v>8.9</v>
      </c>
      <c r="I168" s="18">
        <v>7.97</v>
      </c>
      <c r="J168" s="18">
        <v>0.93</v>
      </c>
      <c r="K168" s="18">
        <v>0.23</v>
      </c>
      <c r="L168" s="18">
        <v>7.0000000000000007E-2</v>
      </c>
      <c r="M168" s="18">
        <v>0.23</v>
      </c>
      <c r="N168" s="18">
        <v>0.45</v>
      </c>
      <c r="O168" s="18">
        <v>0.11</v>
      </c>
      <c r="P168" s="18">
        <v>0.15</v>
      </c>
      <c r="Q168" s="18">
        <v>7.56</v>
      </c>
      <c r="R168" s="18">
        <v>6.73</v>
      </c>
      <c r="S168" s="18">
        <v>3.56</v>
      </c>
      <c r="T168" s="18">
        <v>336.5</v>
      </c>
      <c r="U168" s="18">
        <v>158.5</v>
      </c>
      <c r="V168" s="5" t="s">
        <v>444</v>
      </c>
      <c r="W168" s="5" t="s">
        <v>413</v>
      </c>
      <c r="X168" s="5" t="s">
        <v>445</v>
      </c>
      <c r="Y168" s="5" t="s">
        <v>426</v>
      </c>
      <c r="Z168" s="5"/>
      <c r="AA168" s="5"/>
      <c r="AB168" s="5" t="s">
        <v>417</v>
      </c>
      <c r="AC168" s="5" t="s">
        <v>427</v>
      </c>
      <c r="AD168" s="18"/>
      <c r="AE168" s="5"/>
    </row>
    <row r="169" spans="1:31" ht="15" customHeight="1" x14ac:dyDescent="0.3">
      <c r="A169" s="5" t="s">
        <v>774</v>
      </c>
      <c r="B169" s="5" t="s">
        <v>775</v>
      </c>
      <c r="C169" s="5" t="s">
        <v>421</v>
      </c>
      <c r="D169" s="5" t="s">
        <v>492</v>
      </c>
      <c r="E169" s="5" t="s">
        <v>423</v>
      </c>
      <c r="F169" s="17">
        <v>1000</v>
      </c>
      <c r="G169" s="5" t="s">
        <v>411</v>
      </c>
      <c r="H169" s="18">
        <v>28</v>
      </c>
      <c r="I169" s="18">
        <v>25.14</v>
      </c>
      <c r="J169" s="18">
        <v>2.86</v>
      </c>
      <c r="K169" s="18">
        <v>0.66</v>
      </c>
      <c r="L169" s="18">
        <v>2</v>
      </c>
      <c r="M169" s="18">
        <v>0.05</v>
      </c>
      <c r="N169" s="18">
        <v>1.41</v>
      </c>
      <c r="O169" s="18">
        <v>0</v>
      </c>
      <c r="P169" s="18">
        <v>0.09</v>
      </c>
      <c r="Q169" s="18">
        <v>22.48</v>
      </c>
      <c r="R169" s="18">
        <v>20.93</v>
      </c>
      <c r="S169" s="18">
        <v>11.2</v>
      </c>
      <c r="T169" s="18">
        <v>20930</v>
      </c>
      <c r="U169" s="18">
        <v>9730</v>
      </c>
      <c r="V169" s="5" t="s">
        <v>412</v>
      </c>
      <c r="W169" s="5" t="s">
        <v>424</v>
      </c>
      <c r="X169" s="5" t="s">
        <v>425</v>
      </c>
      <c r="Y169" s="5" t="s">
        <v>426</v>
      </c>
      <c r="Z169" s="5"/>
      <c r="AA169" s="5"/>
      <c r="AB169" s="5" t="s">
        <v>417</v>
      </c>
      <c r="AC169" s="5" t="s">
        <v>448</v>
      </c>
      <c r="AD169" s="18">
        <v>35.29</v>
      </c>
      <c r="AE169" s="19">
        <v>0.109</v>
      </c>
    </row>
    <row r="170" spans="1:31" ht="15" customHeight="1" x14ac:dyDescent="0.3">
      <c r="A170" s="5" t="s">
        <v>776</v>
      </c>
      <c r="B170" s="5" t="s">
        <v>777</v>
      </c>
      <c r="C170" s="5" t="s">
        <v>454</v>
      </c>
      <c r="D170" s="5" t="s">
        <v>431</v>
      </c>
      <c r="E170" s="5" t="s">
        <v>423</v>
      </c>
      <c r="F170" s="17">
        <v>5000</v>
      </c>
      <c r="G170" s="5" t="s">
        <v>433</v>
      </c>
      <c r="H170" s="18">
        <v>42</v>
      </c>
      <c r="I170" s="18">
        <v>37.299999999999997</v>
      </c>
      <c r="J170" s="18">
        <v>4.7</v>
      </c>
      <c r="K170" s="18">
        <v>0.35</v>
      </c>
      <c r="L170" s="18">
        <v>2.2000000000000002</v>
      </c>
      <c r="M170" s="18">
        <v>0</v>
      </c>
      <c r="N170" s="18">
        <v>0</v>
      </c>
      <c r="O170" s="18">
        <v>0.21</v>
      </c>
      <c r="P170" s="18">
        <v>0</v>
      </c>
      <c r="Q170" s="18">
        <v>34.54</v>
      </c>
      <c r="R170" s="18">
        <v>34.54</v>
      </c>
      <c r="S170" s="18">
        <v>16.8</v>
      </c>
      <c r="T170" s="18">
        <v>172700</v>
      </c>
      <c r="U170" s="18">
        <v>88700</v>
      </c>
      <c r="V170" s="5" t="s">
        <v>444</v>
      </c>
      <c r="W170" s="5" t="s">
        <v>413</v>
      </c>
      <c r="X170" s="5" t="s">
        <v>456</v>
      </c>
      <c r="Y170" s="5" t="s">
        <v>489</v>
      </c>
      <c r="Z170" s="5" t="s">
        <v>638</v>
      </c>
      <c r="AA170" s="5" t="s">
        <v>510</v>
      </c>
      <c r="AB170" s="5" t="s">
        <v>417</v>
      </c>
      <c r="AC170" s="5" t="s">
        <v>482</v>
      </c>
      <c r="AD170" s="18"/>
      <c r="AE170" s="5"/>
    </row>
    <row r="171" spans="1:31" ht="15" customHeight="1" x14ac:dyDescent="0.3">
      <c r="A171" s="5" t="s">
        <v>778</v>
      </c>
      <c r="B171" s="5" t="s">
        <v>779</v>
      </c>
      <c r="C171" s="5" t="s">
        <v>408</v>
      </c>
      <c r="D171" s="5" t="s">
        <v>409</v>
      </c>
      <c r="E171" s="5" t="s">
        <v>423</v>
      </c>
      <c r="F171" s="17">
        <v>500</v>
      </c>
      <c r="G171" s="5" t="s">
        <v>411</v>
      </c>
      <c r="H171" s="18">
        <v>8.5</v>
      </c>
      <c r="I171" s="18">
        <v>8.42</v>
      </c>
      <c r="J171" s="18">
        <v>0.08</v>
      </c>
      <c r="K171" s="18">
        <v>0.15</v>
      </c>
      <c r="L171" s="18">
        <v>0.35</v>
      </c>
      <c r="M171" s="18">
        <v>0</v>
      </c>
      <c r="N171" s="18">
        <v>0</v>
      </c>
      <c r="O171" s="18">
        <v>0</v>
      </c>
      <c r="P171" s="18">
        <v>0.12</v>
      </c>
      <c r="Q171" s="18">
        <v>7.92</v>
      </c>
      <c r="R171" s="18">
        <v>7.8</v>
      </c>
      <c r="S171" s="18">
        <v>3.4</v>
      </c>
      <c r="T171" s="18">
        <v>3900</v>
      </c>
      <c r="U171" s="18">
        <v>2200</v>
      </c>
      <c r="V171" s="5" t="s">
        <v>412</v>
      </c>
      <c r="W171" s="5" t="s">
        <v>413</v>
      </c>
      <c r="X171" s="5" t="s">
        <v>414</v>
      </c>
      <c r="Y171" s="5" t="s">
        <v>426</v>
      </c>
      <c r="Z171" s="5"/>
      <c r="AA171" s="5"/>
      <c r="AB171" s="5" t="s">
        <v>417</v>
      </c>
      <c r="AC171" s="5" t="s">
        <v>448</v>
      </c>
      <c r="AD171" s="18"/>
      <c r="AE171" s="5"/>
    </row>
    <row r="172" spans="1:31" ht="15" customHeight="1" x14ac:dyDescent="0.3">
      <c r="A172" s="5" t="s">
        <v>780</v>
      </c>
      <c r="B172" s="5" t="s">
        <v>781</v>
      </c>
      <c r="C172" s="5" t="s">
        <v>408</v>
      </c>
      <c r="D172" s="5" t="s">
        <v>521</v>
      </c>
      <c r="E172" s="5" t="s">
        <v>410</v>
      </c>
      <c r="F172" s="17">
        <v>200</v>
      </c>
      <c r="G172" s="5" t="s">
        <v>411</v>
      </c>
      <c r="H172" s="18">
        <v>12.75</v>
      </c>
      <c r="I172" s="18">
        <v>11.4</v>
      </c>
      <c r="J172" s="18">
        <v>1.35</v>
      </c>
      <c r="K172" s="18">
        <v>0.05</v>
      </c>
      <c r="L172" s="18">
        <v>0.79</v>
      </c>
      <c r="M172" s="18">
        <v>7.0000000000000007E-2</v>
      </c>
      <c r="N172" s="18">
        <v>0.11</v>
      </c>
      <c r="O172" s="18">
        <v>0</v>
      </c>
      <c r="P172" s="18">
        <v>0</v>
      </c>
      <c r="Q172" s="18">
        <v>10.56</v>
      </c>
      <c r="R172" s="18">
        <v>10.38</v>
      </c>
      <c r="S172" s="18">
        <v>5.0999999999999996</v>
      </c>
      <c r="T172" s="18">
        <v>2076</v>
      </c>
      <c r="U172" s="18">
        <v>1056</v>
      </c>
      <c r="V172" s="5" t="s">
        <v>412</v>
      </c>
      <c r="W172" s="5" t="s">
        <v>413</v>
      </c>
      <c r="X172" s="5" t="s">
        <v>414</v>
      </c>
      <c r="Y172" s="5" t="s">
        <v>415</v>
      </c>
      <c r="Z172" s="5" t="s">
        <v>547</v>
      </c>
      <c r="AA172" s="5"/>
      <c r="AB172" s="5" t="s">
        <v>417</v>
      </c>
      <c r="AC172" s="5" t="s">
        <v>418</v>
      </c>
      <c r="AD172" s="18"/>
      <c r="AE172" s="5"/>
    </row>
    <row r="173" spans="1:31" ht="15" customHeight="1" x14ac:dyDescent="0.3">
      <c r="A173" s="5" t="s">
        <v>782</v>
      </c>
      <c r="B173" s="5" t="s">
        <v>783</v>
      </c>
      <c r="C173" s="5" t="s">
        <v>454</v>
      </c>
      <c r="D173" s="5" t="s">
        <v>422</v>
      </c>
      <c r="E173" s="5" t="s">
        <v>455</v>
      </c>
      <c r="F173" s="17">
        <v>2500</v>
      </c>
      <c r="G173" s="5" t="s">
        <v>411</v>
      </c>
      <c r="H173" s="18">
        <v>3.2</v>
      </c>
      <c r="I173" s="18">
        <v>3.03</v>
      </c>
      <c r="J173" s="18">
        <v>0.17</v>
      </c>
      <c r="K173" s="18">
        <v>0.02</v>
      </c>
      <c r="L173" s="18">
        <v>0.23</v>
      </c>
      <c r="M173" s="18">
        <v>0</v>
      </c>
      <c r="N173" s="18">
        <v>0</v>
      </c>
      <c r="O173" s="18">
        <v>0.03</v>
      </c>
      <c r="P173" s="18">
        <v>0</v>
      </c>
      <c r="Q173" s="18">
        <v>2.75</v>
      </c>
      <c r="R173" s="18">
        <v>2.75</v>
      </c>
      <c r="S173" s="18">
        <v>1.28</v>
      </c>
      <c r="T173" s="18">
        <v>6875</v>
      </c>
      <c r="U173" s="18">
        <v>3675</v>
      </c>
      <c r="V173" s="5" t="s">
        <v>444</v>
      </c>
      <c r="W173" s="5" t="s">
        <v>413</v>
      </c>
      <c r="X173" s="5" t="s">
        <v>456</v>
      </c>
      <c r="Y173" s="5" t="s">
        <v>415</v>
      </c>
      <c r="Z173" s="5" t="s">
        <v>436</v>
      </c>
      <c r="AA173" s="5"/>
      <c r="AB173" s="5" t="s">
        <v>417</v>
      </c>
      <c r="AC173" s="5" t="s">
        <v>482</v>
      </c>
      <c r="AD173" s="18"/>
      <c r="AE173" s="5"/>
    </row>
    <row r="174" spans="1:31" ht="15" customHeight="1" x14ac:dyDescent="0.3">
      <c r="A174" s="5" t="s">
        <v>784</v>
      </c>
      <c r="B174" s="5" t="s">
        <v>785</v>
      </c>
      <c r="C174" s="5" t="s">
        <v>421</v>
      </c>
      <c r="D174" s="5" t="s">
        <v>492</v>
      </c>
      <c r="E174" s="5" t="s">
        <v>455</v>
      </c>
      <c r="F174" s="17">
        <v>2500</v>
      </c>
      <c r="G174" s="5" t="s">
        <v>411</v>
      </c>
      <c r="H174" s="18">
        <v>28</v>
      </c>
      <c r="I174" s="18">
        <v>25.96</v>
      </c>
      <c r="J174" s="18">
        <v>2.04</v>
      </c>
      <c r="K174" s="18">
        <v>0.65</v>
      </c>
      <c r="L174" s="18">
        <v>1.55</v>
      </c>
      <c r="M174" s="18">
        <v>0.74</v>
      </c>
      <c r="N174" s="18">
        <v>0</v>
      </c>
      <c r="O174" s="18">
        <v>0</v>
      </c>
      <c r="P174" s="18">
        <v>0</v>
      </c>
      <c r="Q174" s="18">
        <v>23.76</v>
      </c>
      <c r="R174" s="18">
        <v>23.02</v>
      </c>
      <c r="S174" s="18">
        <v>11.2</v>
      </c>
      <c r="T174" s="18">
        <v>57550</v>
      </c>
      <c r="U174" s="18">
        <v>29550</v>
      </c>
      <c r="V174" s="5" t="s">
        <v>412</v>
      </c>
      <c r="W174" s="5" t="s">
        <v>424</v>
      </c>
      <c r="X174" s="5" t="s">
        <v>425</v>
      </c>
      <c r="Y174" s="5" t="s">
        <v>426</v>
      </c>
      <c r="Z174" s="5"/>
      <c r="AA174" s="5"/>
      <c r="AB174" s="5" t="s">
        <v>417</v>
      </c>
      <c r="AC174" s="5" t="s">
        <v>482</v>
      </c>
      <c r="AD174" s="18">
        <v>34.659999999999997</v>
      </c>
      <c r="AE174" s="19">
        <v>0.13600000000000001</v>
      </c>
    </row>
    <row r="175" spans="1:31" ht="15" customHeight="1" x14ac:dyDescent="0.3">
      <c r="A175" s="5" t="s">
        <v>786</v>
      </c>
      <c r="B175" s="5" t="s">
        <v>787</v>
      </c>
      <c r="C175" s="5" t="s">
        <v>443</v>
      </c>
      <c r="D175" s="5" t="s">
        <v>422</v>
      </c>
      <c r="E175" s="5" t="s">
        <v>432</v>
      </c>
      <c r="F175" s="17">
        <v>100</v>
      </c>
      <c r="G175" s="5" t="s">
        <v>411</v>
      </c>
      <c r="H175" s="18">
        <v>3.2</v>
      </c>
      <c r="I175" s="18">
        <v>3.01</v>
      </c>
      <c r="J175" s="18">
        <v>0.19</v>
      </c>
      <c r="K175" s="18">
        <v>0.06</v>
      </c>
      <c r="L175" s="18">
        <v>0.14000000000000001</v>
      </c>
      <c r="M175" s="18">
        <v>0.13</v>
      </c>
      <c r="N175" s="18">
        <v>0.03</v>
      </c>
      <c r="O175" s="18">
        <v>0.05</v>
      </c>
      <c r="P175" s="18">
        <v>0</v>
      </c>
      <c r="Q175" s="18">
        <v>2.76</v>
      </c>
      <c r="R175" s="18">
        <v>2.6</v>
      </c>
      <c r="S175" s="18">
        <v>1.28</v>
      </c>
      <c r="T175" s="18">
        <v>260</v>
      </c>
      <c r="U175" s="18">
        <v>132</v>
      </c>
      <c r="V175" s="5" t="s">
        <v>444</v>
      </c>
      <c r="W175" s="5" t="s">
        <v>413</v>
      </c>
      <c r="X175" s="5" t="s">
        <v>445</v>
      </c>
      <c r="Y175" s="5" t="s">
        <v>415</v>
      </c>
      <c r="Z175" s="5" t="s">
        <v>469</v>
      </c>
      <c r="AA175" s="5" t="s">
        <v>437</v>
      </c>
      <c r="AB175" s="5" t="s">
        <v>417</v>
      </c>
      <c r="AC175" s="5" t="s">
        <v>482</v>
      </c>
      <c r="AD175" s="18"/>
      <c r="AE175" s="5"/>
    </row>
    <row r="176" spans="1:31" ht="15" customHeight="1" x14ac:dyDescent="0.3">
      <c r="A176" s="5" t="s">
        <v>788</v>
      </c>
      <c r="B176" s="5" t="s">
        <v>789</v>
      </c>
      <c r="C176" s="5" t="s">
        <v>479</v>
      </c>
      <c r="D176" s="5" t="s">
        <v>440</v>
      </c>
      <c r="E176" s="5" t="s">
        <v>432</v>
      </c>
      <c r="F176" s="17">
        <v>50</v>
      </c>
      <c r="G176" s="5" t="s">
        <v>411</v>
      </c>
      <c r="H176" s="18">
        <v>0.45</v>
      </c>
      <c r="I176" s="18">
        <v>0.4</v>
      </c>
      <c r="J176" s="18">
        <v>0.05</v>
      </c>
      <c r="K176" s="18">
        <v>0.01</v>
      </c>
      <c r="L176" s="18">
        <v>0.01</v>
      </c>
      <c r="M176" s="18">
        <v>0.01</v>
      </c>
      <c r="N176" s="18">
        <v>0</v>
      </c>
      <c r="O176" s="18">
        <v>0</v>
      </c>
      <c r="P176" s="18">
        <v>0</v>
      </c>
      <c r="Q176" s="18">
        <v>0.38</v>
      </c>
      <c r="R176" s="18">
        <v>0.37</v>
      </c>
      <c r="S176" s="18">
        <v>0.18</v>
      </c>
      <c r="T176" s="18">
        <v>18.5</v>
      </c>
      <c r="U176" s="18">
        <v>9.5</v>
      </c>
      <c r="V176" s="5" t="s">
        <v>444</v>
      </c>
      <c r="W176" s="5" t="s">
        <v>424</v>
      </c>
      <c r="X176" s="5" t="s">
        <v>445</v>
      </c>
      <c r="Y176" s="5" t="s">
        <v>415</v>
      </c>
      <c r="Z176" s="5" t="s">
        <v>496</v>
      </c>
      <c r="AA176" s="5"/>
      <c r="AB176" s="5" t="s">
        <v>417</v>
      </c>
      <c r="AC176" s="5" t="s">
        <v>482</v>
      </c>
      <c r="AD176" s="18">
        <v>0.52</v>
      </c>
      <c r="AE176" s="19">
        <v>0.24199999999999999</v>
      </c>
    </row>
    <row r="177" spans="1:31" ht="15" customHeight="1" x14ac:dyDescent="0.3">
      <c r="A177" s="5" t="s">
        <v>790</v>
      </c>
      <c r="B177" s="5" t="s">
        <v>791</v>
      </c>
      <c r="C177" s="5" t="s">
        <v>408</v>
      </c>
      <c r="D177" s="5" t="s">
        <v>550</v>
      </c>
      <c r="E177" s="5" t="s">
        <v>423</v>
      </c>
      <c r="F177" s="17">
        <v>5000</v>
      </c>
      <c r="G177" s="5" t="s">
        <v>411</v>
      </c>
      <c r="H177" s="18">
        <v>35</v>
      </c>
      <c r="I177" s="18">
        <v>34.35</v>
      </c>
      <c r="J177" s="18">
        <v>0.65</v>
      </c>
      <c r="K177" s="18">
        <v>0.34</v>
      </c>
      <c r="L177" s="18">
        <v>1.64</v>
      </c>
      <c r="M177" s="18">
        <v>0.91</v>
      </c>
      <c r="N177" s="18">
        <v>0.65</v>
      </c>
      <c r="O177" s="18">
        <v>0</v>
      </c>
      <c r="P177" s="18">
        <v>0.17</v>
      </c>
      <c r="Q177" s="18">
        <v>32.369999999999997</v>
      </c>
      <c r="R177" s="18">
        <v>30.64</v>
      </c>
      <c r="S177" s="18">
        <v>14</v>
      </c>
      <c r="T177" s="18">
        <v>153200</v>
      </c>
      <c r="U177" s="18">
        <v>83200</v>
      </c>
      <c r="V177" s="5" t="s">
        <v>412</v>
      </c>
      <c r="W177" s="5" t="s">
        <v>413</v>
      </c>
      <c r="X177" s="5" t="s">
        <v>414</v>
      </c>
      <c r="Y177" s="5" t="s">
        <v>415</v>
      </c>
      <c r="Z177" s="5" t="s">
        <v>638</v>
      </c>
      <c r="AA177" s="5"/>
      <c r="AB177" s="5" t="s">
        <v>417</v>
      </c>
      <c r="AC177" s="5" t="s">
        <v>482</v>
      </c>
      <c r="AD177" s="18"/>
      <c r="AE177" s="5"/>
    </row>
    <row r="178" spans="1:31" ht="15" customHeight="1" x14ac:dyDescent="0.3">
      <c r="A178" s="5" t="s">
        <v>792</v>
      </c>
      <c r="B178" s="5" t="s">
        <v>793</v>
      </c>
      <c r="C178" s="5" t="s">
        <v>430</v>
      </c>
      <c r="D178" s="5" t="s">
        <v>492</v>
      </c>
      <c r="E178" s="5" t="s">
        <v>432</v>
      </c>
      <c r="F178" s="17">
        <v>200</v>
      </c>
      <c r="G178" s="5" t="s">
        <v>411</v>
      </c>
      <c r="H178" s="18">
        <v>28</v>
      </c>
      <c r="I178" s="18">
        <v>25.76</v>
      </c>
      <c r="J178" s="18">
        <v>2.2400000000000002</v>
      </c>
      <c r="K178" s="18">
        <v>0.55000000000000004</v>
      </c>
      <c r="L178" s="18">
        <v>0.39</v>
      </c>
      <c r="M178" s="18">
        <v>0</v>
      </c>
      <c r="N178" s="18">
        <v>0</v>
      </c>
      <c r="O178" s="18">
        <v>0</v>
      </c>
      <c r="P178" s="18">
        <v>0</v>
      </c>
      <c r="Q178" s="18">
        <v>24.82</v>
      </c>
      <c r="R178" s="18">
        <v>24.82</v>
      </c>
      <c r="S178" s="18">
        <v>11.2</v>
      </c>
      <c r="T178" s="18">
        <v>4964</v>
      </c>
      <c r="U178" s="18">
        <v>2724</v>
      </c>
      <c r="V178" s="5" t="s">
        <v>434</v>
      </c>
      <c r="W178" s="5" t="s">
        <v>435</v>
      </c>
      <c r="X178" s="5" t="s">
        <v>414</v>
      </c>
      <c r="Y178" s="5" t="s">
        <v>489</v>
      </c>
      <c r="Z178" s="5" t="s">
        <v>522</v>
      </c>
      <c r="AA178" s="5"/>
      <c r="AB178" s="5" t="s">
        <v>417</v>
      </c>
      <c r="AC178" s="5" t="s">
        <v>427</v>
      </c>
      <c r="AD178" s="18">
        <v>30.07</v>
      </c>
      <c r="AE178" s="19">
        <v>0.19700000000000001</v>
      </c>
    </row>
    <row r="179" spans="1:31" ht="15" customHeight="1" x14ac:dyDescent="0.3">
      <c r="A179" s="5" t="s">
        <v>794</v>
      </c>
      <c r="B179" s="5" t="s">
        <v>795</v>
      </c>
      <c r="C179" s="5" t="s">
        <v>575</v>
      </c>
      <c r="D179" s="5" t="s">
        <v>451</v>
      </c>
      <c r="E179" s="5" t="s">
        <v>410</v>
      </c>
      <c r="F179" s="17">
        <v>2500</v>
      </c>
      <c r="G179" s="5" t="s">
        <v>411</v>
      </c>
      <c r="H179" s="18">
        <v>15.2</v>
      </c>
      <c r="I179" s="18">
        <v>13.58</v>
      </c>
      <c r="J179" s="18">
        <v>1.62</v>
      </c>
      <c r="K179" s="18">
        <v>0.35</v>
      </c>
      <c r="L179" s="18">
        <v>0.04</v>
      </c>
      <c r="M179" s="18">
        <v>0.17</v>
      </c>
      <c r="N179" s="18">
        <v>0</v>
      </c>
      <c r="O179" s="18">
        <v>0.26</v>
      </c>
      <c r="P179" s="18">
        <v>0</v>
      </c>
      <c r="Q179" s="18">
        <v>12.93</v>
      </c>
      <c r="R179" s="18">
        <v>12.76</v>
      </c>
      <c r="S179" s="18">
        <v>6.08</v>
      </c>
      <c r="T179" s="18">
        <v>31900</v>
      </c>
      <c r="U179" s="18">
        <v>16700</v>
      </c>
      <c r="V179" s="5" t="s">
        <v>412</v>
      </c>
      <c r="W179" s="5" t="s">
        <v>413</v>
      </c>
      <c r="X179" s="5" t="s">
        <v>414</v>
      </c>
      <c r="Y179" s="5" t="s">
        <v>426</v>
      </c>
      <c r="Z179" s="5"/>
      <c r="AA179" s="5"/>
      <c r="AB179" s="5" t="s">
        <v>417</v>
      </c>
      <c r="AC179" s="5" t="s">
        <v>482</v>
      </c>
      <c r="AD179" s="18"/>
      <c r="AE179" s="5"/>
    </row>
    <row r="180" spans="1:31" ht="15" customHeight="1" x14ac:dyDescent="0.3">
      <c r="A180" s="5" t="s">
        <v>796</v>
      </c>
      <c r="B180" s="5" t="s">
        <v>797</v>
      </c>
      <c r="C180" s="5" t="s">
        <v>430</v>
      </c>
      <c r="D180" s="5" t="s">
        <v>451</v>
      </c>
      <c r="E180" s="5" t="s">
        <v>410</v>
      </c>
      <c r="F180" s="17">
        <v>100</v>
      </c>
      <c r="G180" s="5" t="s">
        <v>411</v>
      </c>
      <c r="H180" s="18">
        <v>15.2</v>
      </c>
      <c r="I180" s="18">
        <v>14.73</v>
      </c>
      <c r="J180" s="18">
        <v>0.47</v>
      </c>
      <c r="K180" s="18">
        <v>0.05</v>
      </c>
      <c r="L180" s="18">
        <v>0.7</v>
      </c>
      <c r="M180" s="18">
        <v>0.14000000000000001</v>
      </c>
      <c r="N180" s="18">
        <v>0</v>
      </c>
      <c r="O180" s="18">
        <v>0</v>
      </c>
      <c r="P180" s="18">
        <v>7.0000000000000007E-2</v>
      </c>
      <c r="Q180" s="18">
        <v>13.98</v>
      </c>
      <c r="R180" s="18">
        <v>13.77</v>
      </c>
      <c r="S180" s="18">
        <v>6.08</v>
      </c>
      <c r="T180" s="18">
        <v>1377</v>
      </c>
      <c r="U180" s="18">
        <v>769</v>
      </c>
      <c r="V180" s="5" t="s">
        <v>434</v>
      </c>
      <c r="W180" s="5" t="s">
        <v>435</v>
      </c>
      <c r="X180" s="5" t="s">
        <v>414</v>
      </c>
      <c r="Y180" s="5" t="s">
        <v>426</v>
      </c>
      <c r="Z180" s="5"/>
      <c r="AA180" s="5"/>
      <c r="AB180" s="5" t="s">
        <v>417</v>
      </c>
      <c r="AC180" s="5" t="s">
        <v>418</v>
      </c>
      <c r="AD180" s="18">
        <v>16.98</v>
      </c>
      <c r="AE180" s="19">
        <v>0.20399999999999999</v>
      </c>
    </row>
    <row r="181" spans="1:31" ht="15" customHeight="1" x14ac:dyDescent="0.3">
      <c r="A181" s="5" t="s">
        <v>798</v>
      </c>
      <c r="B181" s="5" t="s">
        <v>799</v>
      </c>
      <c r="C181" s="5" t="s">
        <v>485</v>
      </c>
      <c r="D181" s="5" t="s">
        <v>550</v>
      </c>
      <c r="E181" s="5" t="s">
        <v>475</v>
      </c>
      <c r="F181" s="17">
        <v>100</v>
      </c>
      <c r="G181" s="5" t="s">
        <v>411</v>
      </c>
      <c r="H181" s="18">
        <v>35</v>
      </c>
      <c r="I181" s="18">
        <v>33.65</v>
      </c>
      <c r="J181" s="18">
        <v>1.35</v>
      </c>
      <c r="K181" s="18">
        <v>0.44</v>
      </c>
      <c r="L181" s="18">
        <v>2.02</v>
      </c>
      <c r="M181" s="18">
        <v>0</v>
      </c>
      <c r="N181" s="18">
        <v>0</v>
      </c>
      <c r="O181" s="18">
        <v>0</v>
      </c>
      <c r="P181" s="18">
        <v>0</v>
      </c>
      <c r="Q181" s="18">
        <v>31.19</v>
      </c>
      <c r="R181" s="18">
        <v>31.19</v>
      </c>
      <c r="S181" s="18">
        <v>14</v>
      </c>
      <c r="T181" s="18">
        <v>3119</v>
      </c>
      <c r="U181" s="18">
        <v>1719</v>
      </c>
      <c r="V181" s="5" t="s">
        <v>444</v>
      </c>
      <c r="W181" s="5" t="s">
        <v>413</v>
      </c>
      <c r="X181" s="5" t="s">
        <v>456</v>
      </c>
      <c r="Y181" s="5" t="s">
        <v>426</v>
      </c>
      <c r="Z181" s="5"/>
      <c r="AA181" s="5"/>
      <c r="AB181" s="5" t="s">
        <v>417</v>
      </c>
      <c r="AC181" s="5" t="s">
        <v>482</v>
      </c>
      <c r="AD181" s="18"/>
      <c r="AE181" s="5"/>
    </row>
    <row r="182" spans="1:31" ht="15" customHeight="1" x14ac:dyDescent="0.3">
      <c r="A182" s="5" t="s">
        <v>800</v>
      </c>
      <c r="B182" s="5" t="s">
        <v>801</v>
      </c>
      <c r="C182" s="5" t="s">
        <v>408</v>
      </c>
      <c r="D182" s="5" t="s">
        <v>460</v>
      </c>
      <c r="E182" s="5" t="s">
        <v>410</v>
      </c>
      <c r="F182" s="17">
        <v>5000</v>
      </c>
      <c r="G182" s="5" t="s">
        <v>411</v>
      </c>
      <c r="H182" s="18">
        <v>22.5</v>
      </c>
      <c r="I182" s="18">
        <v>20.22</v>
      </c>
      <c r="J182" s="18">
        <v>2.2799999999999998</v>
      </c>
      <c r="K182" s="18">
        <v>0.22</v>
      </c>
      <c r="L182" s="18">
        <v>1</v>
      </c>
      <c r="M182" s="18">
        <v>0</v>
      </c>
      <c r="N182" s="18">
        <v>0</v>
      </c>
      <c r="O182" s="18">
        <v>0</v>
      </c>
      <c r="P182" s="18">
        <v>0</v>
      </c>
      <c r="Q182" s="18">
        <v>19</v>
      </c>
      <c r="R182" s="18">
        <v>19</v>
      </c>
      <c r="S182" s="18">
        <v>9</v>
      </c>
      <c r="T182" s="18">
        <v>95000</v>
      </c>
      <c r="U182" s="18">
        <v>50000</v>
      </c>
      <c r="V182" s="5" t="s">
        <v>412</v>
      </c>
      <c r="W182" s="5" t="s">
        <v>413</v>
      </c>
      <c r="X182" s="5" t="s">
        <v>414</v>
      </c>
      <c r="Y182" s="5" t="s">
        <v>415</v>
      </c>
      <c r="Z182" s="5" t="s">
        <v>461</v>
      </c>
      <c r="AA182" s="5"/>
      <c r="AB182" s="5" t="s">
        <v>417</v>
      </c>
      <c r="AC182" s="5" t="s">
        <v>448</v>
      </c>
      <c r="AD182" s="18"/>
      <c r="AE182" s="5"/>
    </row>
    <row r="183" spans="1:31" ht="15" customHeight="1" x14ac:dyDescent="0.3">
      <c r="A183" s="5" t="s">
        <v>802</v>
      </c>
      <c r="B183" s="5" t="s">
        <v>803</v>
      </c>
      <c r="C183" s="5" t="s">
        <v>421</v>
      </c>
      <c r="D183" s="5" t="s">
        <v>440</v>
      </c>
      <c r="E183" s="5" t="s">
        <v>423</v>
      </c>
      <c r="F183" s="17">
        <v>50</v>
      </c>
      <c r="G183" s="5" t="s">
        <v>411</v>
      </c>
      <c r="H183" s="18">
        <v>0.45</v>
      </c>
      <c r="I183" s="18">
        <v>0.4</v>
      </c>
      <c r="J183" s="18">
        <v>0.05</v>
      </c>
      <c r="K183" s="18">
        <v>0</v>
      </c>
      <c r="L183" s="18">
        <v>0.02</v>
      </c>
      <c r="M183" s="18">
        <v>0.01</v>
      </c>
      <c r="N183" s="18">
        <v>0</v>
      </c>
      <c r="O183" s="18">
        <v>0</v>
      </c>
      <c r="P183" s="18">
        <v>0</v>
      </c>
      <c r="Q183" s="18">
        <v>0.38</v>
      </c>
      <c r="R183" s="18">
        <v>0.37</v>
      </c>
      <c r="S183" s="18">
        <v>0.18</v>
      </c>
      <c r="T183" s="18">
        <v>18.5</v>
      </c>
      <c r="U183" s="18">
        <v>9.5</v>
      </c>
      <c r="V183" s="5" t="s">
        <v>412</v>
      </c>
      <c r="W183" s="5" t="s">
        <v>424</v>
      </c>
      <c r="X183" s="5" t="s">
        <v>425</v>
      </c>
      <c r="Y183" s="5" t="s">
        <v>426</v>
      </c>
      <c r="Z183" s="5"/>
      <c r="AA183" s="5" t="s">
        <v>447</v>
      </c>
      <c r="AB183" s="5" t="s">
        <v>417</v>
      </c>
      <c r="AC183" s="5" t="s">
        <v>482</v>
      </c>
      <c r="AD183" s="18">
        <v>0.53</v>
      </c>
      <c r="AE183" s="19">
        <v>0.13</v>
      </c>
    </row>
    <row r="184" spans="1:31" ht="15" customHeight="1" x14ac:dyDescent="0.3">
      <c r="A184" s="5" t="s">
        <v>804</v>
      </c>
      <c r="B184" s="5" t="s">
        <v>805</v>
      </c>
      <c r="C184" s="5" t="s">
        <v>421</v>
      </c>
      <c r="D184" s="5" t="s">
        <v>440</v>
      </c>
      <c r="E184" s="5" t="s">
        <v>475</v>
      </c>
      <c r="F184" s="17">
        <v>500</v>
      </c>
      <c r="G184" s="5" t="s">
        <v>411</v>
      </c>
      <c r="H184" s="18">
        <v>0.45</v>
      </c>
      <c r="I184" s="18">
        <v>0.4</v>
      </c>
      <c r="J184" s="18">
        <v>0.05</v>
      </c>
      <c r="K184" s="18">
        <v>0.01</v>
      </c>
      <c r="L184" s="18">
        <v>0.01</v>
      </c>
      <c r="M184" s="18">
        <v>0</v>
      </c>
      <c r="N184" s="18">
        <v>0</v>
      </c>
      <c r="O184" s="18">
        <v>0</v>
      </c>
      <c r="P184" s="18">
        <v>0</v>
      </c>
      <c r="Q184" s="18">
        <v>0.38</v>
      </c>
      <c r="R184" s="18">
        <v>0.38</v>
      </c>
      <c r="S184" s="18">
        <v>0.18</v>
      </c>
      <c r="T184" s="18">
        <v>190</v>
      </c>
      <c r="U184" s="18">
        <v>100</v>
      </c>
      <c r="V184" s="5" t="s">
        <v>412</v>
      </c>
      <c r="W184" s="5" t="s">
        <v>424</v>
      </c>
      <c r="X184" s="5" t="s">
        <v>425</v>
      </c>
      <c r="Y184" s="5" t="s">
        <v>489</v>
      </c>
      <c r="Z184" s="5" t="s">
        <v>547</v>
      </c>
      <c r="AA184" s="5"/>
      <c r="AB184" s="5" t="s">
        <v>417</v>
      </c>
      <c r="AC184" s="5" t="s">
        <v>482</v>
      </c>
      <c r="AD184" s="18">
        <v>0.5</v>
      </c>
      <c r="AE184" s="19">
        <v>0.19400000000000001</v>
      </c>
    </row>
    <row r="185" spans="1:31" ht="15" customHeight="1" x14ac:dyDescent="0.3">
      <c r="A185" s="5" t="s">
        <v>806</v>
      </c>
      <c r="B185" s="5" t="s">
        <v>807</v>
      </c>
      <c r="C185" s="5" t="s">
        <v>408</v>
      </c>
      <c r="D185" s="5" t="s">
        <v>550</v>
      </c>
      <c r="E185" s="5" t="s">
        <v>423</v>
      </c>
      <c r="F185" s="17">
        <v>2500</v>
      </c>
      <c r="G185" s="5" t="s">
        <v>411</v>
      </c>
      <c r="H185" s="18">
        <v>35</v>
      </c>
      <c r="I185" s="18">
        <v>31.56</v>
      </c>
      <c r="J185" s="18">
        <v>3.44</v>
      </c>
      <c r="K185" s="18">
        <v>0.08</v>
      </c>
      <c r="L185" s="18">
        <v>1.59</v>
      </c>
      <c r="M185" s="18">
        <v>1.35</v>
      </c>
      <c r="N185" s="18">
        <v>0</v>
      </c>
      <c r="O185" s="18">
        <v>0</v>
      </c>
      <c r="P185" s="18">
        <v>0</v>
      </c>
      <c r="Q185" s="18">
        <v>29.89</v>
      </c>
      <c r="R185" s="18">
        <v>28.54</v>
      </c>
      <c r="S185" s="18">
        <v>14</v>
      </c>
      <c r="T185" s="18">
        <v>71350</v>
      </c>
      <c r="U185" s="18">
        <v>36350</v>
      </c>
      <c r="V185" s="5" t="s">
        <v>412</v>
      </c>
      <c r="W185" s="5" t="s">
        <v>413</v>
      </c>
      <c r="X185" s="5" t="s">
        <v>414</v>
      </c>
      <c r="Y185" s="5" t="s">
        <v>426</v>
      </c>
      <c r="Z185" s="5"/>
      <c r="AA185" s="5" t="s">
        <v>447</v>
      </c>
      <c r="AB185" s="5" t="s">
        <v>417</v>
      </c>
      <c r="AC185" s="5" t="s">
        <v>427</v>
      </c>
      <c r="AD185" s="18"/>
      <c r="AE185" s="5"/>
    </row>
    <row r="186" spans="1:31" ht="15" customHeight="1" x14ac:dyDescent="0.3">
      <c r="A186" s="5" t="s">
        <v>808</v>
      </c>
      <c r="B186" s="5" t="s">
        <v>809</v>
      </c>
      <c r="C186" s="5" t="s">
        <v>479</v>
      </c>
      <c r="D186" s="5" t="s">
        <v>440</v>
      </c>
      <c r="E186" s="5" t="s">
        <v>432</v>
      </c>
      <c r="F186" s="17">
        <v>100</v>
      </c>
      <c r="G186" s="5" t="s">
        <v>411</v>
      </c>
      <c r="H186" s="18">
        <v>0.45</v>
      </c>
      <c r="I186" s="18">
        <v>0.44</v>
      </c>
      <c r="J186" s="18">
        <v>0.01</v>
      </c>
      <c r="K186" s="18">
        <v>0.01</v>
      </c>
      <c r="L186" s="18">
        <v>0</v>
      </c>
      <c r="M186" s="18">
        <v>0</v>
      </c>
      <c r="N186" s="18">
        <v>0</v>
      </c>
      <c r="O186" s="18">
        <v>0</v>
      </c>
      <c r="P186" s="18">
        <v>0</v>
      </c>
      <c r="Q186" s="18">
        <v>0.43</v>
      </c>
      <c r="R186" s="18">
        <v>0.43</v>
      </c>
      <c r="S186" s="18">
        <v>0.18</v>
      </c>
      <c r="T186" s="18">
        <v>43</v>
      </c>
      <c r="U186" s="18">
        <v>25</v>
      </c>
      <c r="V186" s="5" t="s">
        <v>444</v>
      </c>
      <c r="W186" s="5" t="s">
        <v>424</v>
      </c>
      <c r="X186" s="5" t="s">
        <v>445</v>
      </c>
      <c r="Y186" s="5" t="s">
        <v>489</v>
      </c>
      <c r="Z186" s="5" t="s">
        <v>700</v>
      </c>
      <c r="AA186" s="5" t="s">
        <v>510</v>
      </c>
      <c r="AB186" s="5" t="s">
        <v>417</v>
      </c>
      <c r="AC186" s="5" t="s">
        <v>427</v>
      </c>
      <c r="AD186" s="18">
        <v>0.57999999999999996</v>
      </c>
      <c r="AE186" s="19">
        <v>0.13800000000000001</v>
      </c>
    </row>
    <row r="187" spans="1:31" ht="15" customHeight="1" x14ac:dyDescent="0.3">
      <c r="A187" s="5" t="s">
        <v>810</v>
      </c>
      <c r="B187" s="5" t="s">
        <v>811</v>
      </c>
      <c r="C187" s="5" t="s">
        <v>479</v>
      </c>
      <c r="D187" s="5" t="s">
        <v>521</v>
      </c>
      <c r="E187" s="5" t="s">
        <v>432</v>
      </c>
      <c r="F187" s="17">
        <v>100</v>
      </c>
      <c r="G187" s="5" t="s">
        <v>411</v>
      </c>
      <c r="H187" s="18">
        <v>12.75</v>
      </c>
      <c r="I187" s="18">
        <v>11.51</v>
      </c>
      <c r="J187" s="18">
        <v>1.24</v>
      </c>
      <c r="K187" s="18">
        <v>0.12</v>
      </c>
      <c r="L187" s="18">
        <v>0.72</v>
      </c>
      <c r="M187" s="18">
        <v>0.11</v>
      </c>
      <c r="N187" s="18">
        <v>0.11</v>
      </c>
      <c r="O187" s="18">
        <v>0.37</v>
      </c>
      <c r="P187" s="18">
        <v>0</v>
      </c>
      <c r="Q187" s="18">
        <v>10.3</v>
      </c>
      <c r="R187" s="18">
        <v>10.08</v>
      </c>
      <c r="S187" s="18">
        <v>5.0999999999999996</v>
      </c>
      <c r="T187" s="18">
        <v>1008</v>
      </c>
      <c r="U187" s="18">
        <v>498</v>
      </c>
      <c r="V187" s="5" t="s">
        <v>444</v>
      </c>
      <c r="W187" s="5" t="s">
        <v>424</v>
      </c>
      <c r="X187" s="5" t="s">
        <v>445</v>
      </c>
      <c r="Y187" s="5" t="s">
        <v>426</v>
      </c>
      <c r="Z187" s="5"/>
      <c r="AA187" s="5"/>
      <c r="AB187" s="5" t="s">
        <v>417</v>
      </c>
      <c r="AC187" s="5" t="s">
        <v>427</v>
      </c>
      <c r="AD187" s="18">
        <v>13.89</v>
      </c>
      <c r="AE187" s="19">
        <v>0.114</v>
      </c>
    </row>
    <row r="188" spans="1:31" ht="15" customHeight="1" x14ac:dyDescent="0.3">
      <c r="A188" s="5" t="s">
        <v>812</v>
      </c>
      <c r="B188" s="5" t="s">
        <v>813</v>
      </c>
      <c r="C188" s="5" t="s">
        <v>485</v>
      </c>
      <c r="D188" s="5" t="s">
        <v>422</v>
      </c>
      <c r="E188" s="5" t="s">
        <v>475</v>
      </c>
      <c r="F188" s="17">
        <v>1000</v>
      </c>
      <c r="G188" s="5" t="s">
        <v>411</v>
      </c>
      <c r="H188" s="18">
        <v>3.2</v>
      </c>
      <c r="I188" s="18">
        <v>2.91</v>
      </c>
      <c r="J188" s="18">
        <v>0.28999999999999998</v>
      </c>
      <c r="K188" s="18">
        <v>0.02</v>
      </c>
      <c r="L188" s="18">
        <v>0.12</v>
      </c>
      <c r="M188" s="18">
        <v>0.02</v>
      </c>
      <c r="N188" s="18">
        <v>0</v>
      </c>
      <c r="O188" s="18">
        <v>0.09</v>
      </c>
      <c r="P188" s="18">
        <v>0</v>
      </c>
      <c r="Q188" s="18">
        <v>2.68</v>
      </c>
      <c r="R188" s="18">
        <v>2.66</v>
      </c>
      <c r="S188" s="18">
        <v>1.28</v>
      </c>
      <c r="T188" s="18">
        <v>2660</v>
      </c>
      <c r="U188" s="18">
        <v>1380</v>
      </c>
      <c r="V188" s="5" t="s">
        <v>444</v>
      </c>
      <c r="W188" s="5" t="s">
        <v>413</v>
      </c>
      <c r="X188" s="5" t="s">
        <v>456</v>
      </c>
      <c r="Y188" s="5" t="s">
        <v>426</v>
      </c>
      <c r="Z188" s="5"/>
      <c r="AA188" s="5"/>
      <c r="AB188" s="5" t="s">
        <v>417</v>
      </c>
      <c r="AC188" s="5" t="s">
        <v>482</v>
      </c>
      <c r="AD188" s="18"/>
      <c r="AE188" s="5"/>
    </row>
    <row r="189" spans="1:31" ht="15" customHeight="1" x14ac:dyDescent="0.3">
      <c r="A189" s="5" t="s">
        <v>814</v>
      </c>
      <c r="B189" s="5" t="s">
        <v>501</v>
      </c>
      <c r="C189" s="5" t="s">
        <v>430</v>
      </c>
      <c r="D189" s="5" t="s">
        <v>431</v>
      </c>
      <c r="E189" s="5" t="s">
        <v>432</v>
      </c>
      <c r="F189" s="17">
        <v>50</v>
      </c>
      <c r="G189" s="5" t="s">
        <v>433</v>
      </c>
      <c r="H189" s="18">
        <v>42</v>
      </c>
      <c r="I189" s="18">
        <v>36.97</v>
      </c>
      <c r="J189" s="18">
        <v>5.03</v>
      </c>
      <c r="K189" s="18">
        <v>0.25</v>
      </c>
      <c r="L189" s="18">
        <v>2.17</v>
      </c>
      <c r="M189" s="18">
        <v>0.15</v>
      </c>
      <c r="N189" s="18">
        <v>2.04</v>
      </c>
      <c r="O189" s="18">
        <v>0</v>
      </c>
      <c r="P189" s="18">
        <v>0.04</v>
      </c>
      <c r="Q189" s="18">
        <v>34.549999999999997</v>
      </c>
      <c r="R189" s="18">
        <v>32.32</v>
      </c>
      <c r="S189" s="18">
        <v>16.8</v>
      </c>
      <c r="T189" s="18">
        <v>1616</v>
      </c>
      <c r="U189" s="18">
        <v>776</v>
      </c>
      <c r="V189" s="5" t="s">
        <v>434</v>
      </c>
      <c r="W189" s="5" t="s">
        <v>435</v>
      </c>
      <c r="X189" s="5" t="s">
        <v>414</v>
      </c>
      <c r="Y189" s="5" t="s">
        <v>415</v>
      </c>
      <c r="Z189" s="5" t="s">
        <v>547</v>
      </c>
      <c r="AA189" s="5"/>
      <c r="AB189" s="5" t="s">
        <v>417</v>
      </c>
      <c r="AC189" s="5" t="s">
        <v>448</v>
      </c>
      <c r="AD189" s="18">
        <v>46.98</v>
      </c>
      <c r="AE189" s="19">
        <v>0.107</v>
      </c>
    </row>
    <row r="190" spans="1:31" ht="15" customHeight="1" x14ac:dyDescent="0.3">
      <c r="A190" s="5" t="s">
        <v>815</v>
      </c>
      <c r="B190" s="5" t="s">
        <v>816</v>
      </c>
      <c r="C190" s="5" t="s">
        <v>485</v>
      </c>
      <c r="D190" s="5" t="s">
        <v>422</v>
      </c>
      <c r="E190" s="5" t="s">
        <v>475</v>
      </c>
      <c r="F190" s="17">
        <v>100</v>
      </c>
      <c r="G190" s="5" t="s">
        <v>411</v>
      </c>
      <c r="H190" s="18">
        <v>3.2</v>
      </c>
      <c r="I190" s="18">
        <v>3.06</v>
      </c>
      <c r="J190" s="18">
        <v>0.14000000000000001</v>
      </c>
      <c r="K190" s="18">
        <v>0.09</v>
      </c>
      <c r="L190" s="18">
        <v>7.0000000000000007E-2</v>
      </c>
      <c r="M190" s="18">
        <v>0.02</v>
      </c>
      <c r="N190" s="18">
        <v>0.12</v>
      </c>
      <c r="O190" s="18">
        <v>0</v>
      </c>
      <c r="P190" s="18">
        <v>0</v>
      </c>
      <c r="Q190" s="18">
        <v>2.9</v>
      </c>
      <c r="R190" s="18">
        <v>2.76</v>
      </c>
      <c r="S190" s="18">
        <v>1.28</v>
      </c>
      <c r="T190" s="18">
        <v>276</v>
      </c>
      <c r="U190" s="18">
        <v>148</v>
      </c>
      <c r="V190" s="5" t="s">
        <v>444</v>
      </c>
      <c r="W190" s="5" t="s">
        <v>413</v>
      </c>
      <c r="X190" s="5" t="s">
        <v>456</v>
      </c>
      <c r="Y190" s="5" t="s">
        <v>415</v>
      </c>
      <c r="Z190" s="5" t="s">
        <v>457</v>
      </c>
      <c r="AA190" s="5"/>
      <c r="AB190" s="5" t="s">
        <v>417</v>
      </c>
      <c r="AC190" s="5" t="s">
        <v>427</v>
      </c>
      <c r="AD190" s="18"/>
      <c r="AE190" s="5"/>
    </row>
    <row r="191" spans="1:31" ht="15" customHeight="1" x14ac:dyDescent="0.3">
      <c r="A191" s="5" t="s">
        <v>817</v>
      </c>
      <c r="B191" s="5" t="s">
        <v>818</v>
      </c>
      <c r="C191" s="5" t="s">
        <v>454</v>
      </c>
      <c r="D191" s="5" t="s">
        <v>422</v>
      </c>
      <c r="E191" s="5" t="s">
        <v>423</v>
      </c>
      <c r="F191" s="17">
        <v>2500</v>
      </c>
      <c r="G191" s="5" t="s">
        <v>411</v>
      </c>
      <c r="H191" s="18">
        <v>3.2</v>
      </c>
      <c r="I191" s="18">
        <v>2.86</v>
      </c>
      <c r="J191" s="18">
        <v>0.34</v>
      </c>
      <c r="K191" s="18">
        <v>0.05</v>
      </c>
      <c r="L191" s="18">
        <v>0.16</v>
      </c>
      <c r="M191" s="18">
        <v>0.1</v>
      </c>
      <c r="N191" s="18">
        <v>0.15</v>
      </c>
      <c r="O191" s="18">
        <v>0</v>
      </c>
      <c r="P191" s="18">
        <v>0</v>
      </c>
      <c r="Q191" s="18">
        <v>2.65</v>
      </c>
      <c r="R191" s="18">
        <v>2.4</v>
      </c>
      <c r="S191" s="18">
        <v>1.28</v>
      </c>
      <c r="T191" s="18">
        <v>6000</v>
      </c>
      <c r="U191" s="18">
        <v>2800</v>
      </c>
      <c r="V191" s="5" t="s">
        <v>444</v>
      </c>
      <c r="W191" s="5" t="s">
        <v>413</v>
      </c>
      <c r="X191" s="5" t="s">
        <v>456</v>
      </c>
      <c r="Y191" s="5" t="s">
        <v>426</v>
      </c>
      <c r="Z191" s="5"/>
      <c r="AA191" s="5"/>
      <c r="AB191" s="5" t="s">
        <v>417</v>
      </c>
      <c r="AC191" s="5" t="s">
        <v>427</v>
      </c>
      <c r="AD191" s="18"/>
      <c r="AE191" s="5"/>
    </row>
    <row r="192" spans="1:31" ht="15" customHeight="1" x14ac:dyDescent="0.3">
      <c r="A192" s="5" t="s">
        <v>819</v>
      </c>
      <c r="B192" s="5" t="s">
        <v>820</v>
      </c>
      <c r="C192" s="5" t="s">
        <v>479</v>
      </c>
      <c r="D192" s="5" t="s">
        <v>451</v>
      </c>
      <c r="E192" s="5" t="s">
        <v>432</v>
      </c>
      <c r="F192" s="17">
        <v>200</v>
      </c>
      <c r="G192" s="5" t="s">
        <v>411</v>
      </c>
      <c r="H192" s="18">
        <v>15.2</v>
      </c>
      <c r="I192" s="18">
        <v>14.11</v>
      </c>
      <c r="J192" s="18">
        <v>1.0900000000000001</v>
      </c>
      <c r="K192" s="18">
        <v>0.01</v>
      </c>
      <c r="L192" s="18">
        <v>0.99</v>
      </c>
      <c r="M192" s="18">
        <v>0</v>
      </c>
      <c r="N192" s="18">
        <v>0.43</v>
      </c>
      <c r="O192" s="18">
        <v>0</v>
      </c>
      <c r="P192" s="18">
        <v>0</v>
      </c>
      <c r="Q192" s="18">
        <v>13.11</v>
      </c>
      <c r="R192" s="18">
        <v>12.68</v>
      </c>
      <c r="S192" s="18">
        <v>6.08</v>
      </c>
      <c r="T192" s="18">
        <v>2536</v>
      </c>
      <c r="U192" s="18">
        <v>1320</v>
      </c>
      <c r="V192" s="5" t="s">
        <v>444</v>
      </c>
      <c r="W192" s="5" t="s">
        <v>424</v>
      </c>
      <c r="X192" s="5" t="s">
        <v>445</v>
      </c>
      <c r="Y192" s="5" t="s">
        <v>415</v>
      </c>
      <c r="Z192" s="5" t="s">
        <v>446</v>
      </c>
      <c r="AA192" s="5" t="s">
        <v>437</v>
      </c>
      <c r="AB192" s="5" t="s">
        <v>417</v>
      </c>
      <c r="AC192" s="5" t="s">
        <v>418</v>
      </c>
      <c r="AD192" s="18">
        <v>16.43</v>
      </c>
      <c r="AE192" s="19">
        <v>0.11</v>
      </c>
    </row>
    <row r="193" spans="1:31" ht="15" customHeight="1" x14ac:dyDescent="0.3">
      <c r="A193" s="5" t="s">
        <v>821</v>
      </c>
      <c r="B193" s="5" t="s">
        <v>822</v>
      </c>
      <c r="C193" s="5" t="s">
        <v>421</v>
      </c>
      <c r="D193" s="5" t="s">
        <v>409</v>
      </c>
      <c r="E193" s="5" t="s">
        <v>423</v>
      </c>
      <c r="F193" s="17">
        <v>1000</v>
      </c>
      <c r="G193" s="5" t="s">
        <v>411</v>
      </c>
      <c r="H193" s="18">
        <v>8.5</v>
      </c>
      <c r="I193" s="18">
        <v>7.64</v>
      </c>
      <c r="J193" s="18">
        <v>0.86</v>
      </c>
      <c r="K193" s="18">
        <v>0.2</v>
      </c>
      <c r="L193" s="18">
        <v>0.24</v>
      </c>
      <c r="M193" s="18">
        <v>0.28999999999999998</v>
      </c>
      <c r="N193" s="18">
        <v>0</v>
      </c>
      <c r="O193" s="18">
        <v>0</v>
      </c>
      <c r="P193" s="18">
        <v>0.12</v>
      </c>
      <c r="Q193" s="18">
        <v>7.2</v>
      </c>
      <c r="R193" s="18">
        <v>6.79</v>
      </c>
      <c r="S193" s="18">
        <v>3.4</v>
      </c>
      <c r="T193" s="18">
        <v>6790</v>
      </c>
      <c r="U193" s="18">
        <v>3390</v>
      </c>
      <c r="V193" s="5" t="s">
        <v>412</v>
      </c>
      <c r="W193" s="5" t="s">
        <v>424</v>
      </c>
      <c r="X193" s="5" t="s">
        <v>425</v>
      </c>
      <c r="Y193" s="5" t="s">
        <v>415</v>
      </c>
      <c r="Z193" s="5" t="s">
        <v>547</v>
      </c>
      <c r="AA193" s="5"/>
      <c r="AB193" s="5" t="s">
        <v>417</v>
      </c>
      <c r="AC193" s="5" t="s">
        <v>427</v>
      </c>
      <c r="AD193" s="18">
        <v>10.52</v>
      </c>
      <c r="AE193" s="19">
        <v>9.6000000000000002E-2</v>
      </c>
    </row>
    <row r="194" spans="1:31" ht="15" customHeight="1" x14ac:dyDescent="0.3">
      <c r="A194" s="5" t="s">
        <v>823</v>
      </c>
      <c r="B194" s="5" t="s">
        <v>824</v>
      </c>
      <c r="C194" s="5" t="s">
        <v>430</v>
      </c>
      <c r="D194" s="5" t="s">
        <v>451</v>
      </c>
      <c r="E194" s="5" t="s">
        <v>455</v>
      </c>
      <c r="F194" s="17">
        <v>100</v>
      </c>
      <c r="G194" s="5" t="s">
        <v>411</v>
      </c>
      <c r="H194" s="18">
        <v>15.2</v>
      </c>
      <c r="I194" s="18">
        <v>13.67</v>
      </c>
      <c r="J194" s="18">
        <v>1.53</v>
      </c>
      <c r="K194" s="18">
        <v>0.37</v>
      </c>
      <c r="L194" s="18">
        <v>1.18</v>
      </c>
      <c r="M194" s="18">
        <v>0.11</v>
      </c>
      <c r="N194" s="18">
        <v>0</v>
      </c>
      <c r="O194" s="18">
        <v>0</v>
      </c>
      <c r="P194" s="18">
        <v>0</v>
      </c>
      <c r="Q194" s="18">
        <v>12.12</v>
      </c>
      <c r="R194" s="18">
        <v>12.01</v>
      </c>
      <c r="S194" s="18">
        <v>6.08</v>
      </c>
      <c r="T194" s="18">
        <v>1201</v>
      </c>
      <c r="U194" s="18">
        <v>593</v>
      </c>
      <c r="V194" s="5" t="s">
        <v>434</v>
      </c>
      <c r="W194" s="5" t="s">
        <v>435</v>
      </c>
      <c r="X194" s="5" t="s">
        <v>414</v>
      </c>
      <c r="Y194" s="5" t="s">
        <v>426</v>
      </c>
      <c r="Z194" s="5"/>
      <c r="AA194" s="5"/>
      <c r="AB194" s="5" t="s">
        <v>417</v>
      </c>
      <c r="AC194" s="5" t="s">
        <v>482</v>
      </c>
      <c r="AD194" s="18">
        <v>19.11</v>
      </c>
      <c r="AE194" s="19">
        <v>0.14599999999999999</v>
      </c>
    </row>
    <row r="195" spans="1:31" ht="15" customHeight="1" x14ac:dyDescent="0.3">
      <c r="A195" s="5" t="s">
        <v>825</v>
      </c>
      <c r="B195" s="5" t="s">
        <v>826</v>
      </c>
      <c r="C195" s="5" t="s">
        <v>430</v>
      </c>
      <c r="D195" s="5" t="s">
        <v>440</v>
      </c>
      <c r="E195" s="5" t="s">
        <v>423</v>
      </c>
      <c r="F195" s="17">
        <v>200</v>
      </c>
      <c r="G195" s="5" t="s">
        <v>411</v>
      </c>
      <c r="H195" s="18">
        <v>0.45</v>
      </c>
      <c r="I195" s="18">
        <v>0.41</v>
      </c>
      <c r="J195" s="18">
        <v>0.04</v>
      </c>
      <c r="K195" s="18">
        <v>0.01</v>
      </c>
      <c r="L195" s="18">
        <v>0.03</v>
      </c>
      <c r="M195" s="18">
        <v>0</v>
      </c>
      <c r="N195" s="18">
        <v>0</v>
      </c>
      <c r="O195" s="18">
        <v>0</v>
      </c>
      <c r="P195" s="18">
        <v>0.01</v>
      </c>
      <c r="Q195" s="18">
        <v>0.37</v>
      </c>
      <c r="R195" s="18">
        <v>0.36</v>
      </c>
      <c r="S195" s="18">
        <v>0.18</v>
      </c>
      <c r="T195" s="18">
        <v>72</v>
      </c>
      <c r="U195" s="18">
        <v>36</v>
      </c>
      <c r="V195" s="5" t="s">
        <v>434</v>
      </c>
      <c r="W195" s="5" t="s">
        <v>435</v>
      </c>
      <c r="X195" s="5" t="s">
        <v>414</v>
      </c>
      <c r="Y195" s="5" t="s">
        <v>415</v>
      </c>
      <c r="Z195" s="5" t="s">
        <v>461</v>
      </c>
      <c r="AA195" s="5" t="s">
        <v>437</v>
      </c>
      <c r="AB195" s="5" t="s">
        <v>417</v>
      </c>
      <c r="AC195" s="5" t="s">
        <v>448</v>
      </c>
      <c r="AD195" s="18">
        <v>0.5</v>
      </c>
      <c r="AE195" s="19">
        <v>0.22700000000000001</v>
      </c>
    </row>
    <row r="196" spans="1:31" ht="15" customHeight="1" x14ac:dyDescent="0.3">
      <c r="A196" s="5" t="s">
        <v>827</v>
      </c>
      <c r="B196" s="5" t="s">
        <v>598</v>
      </c>
      <c r="C196" s="5" t="s">
        <v>408</v>
      </c>
      <c r="D196" s="5" t="s">
        <v>507</v>
      </c>
      <c r="E196" s="5" t="s">
        <v>410</v>
      </c>
      <c r="F196" s="17">
        <v>200</v>
      </c>
      <c r="G196" s="5" t="s">
        <v>433</v>
      </c>
      <c r="H196" s="18">
        <v>8.9</v>
      </c>
      <c r="I196" s="18">
        <v>8.75</v>
      </c>
      <c r="J196" s="18">
        <v>0.15</v>
      </c>
      <c r="K196" s="18">
        <v>0.04</v>
      </c>
      <c r="L196" s="18">
        <v>0.68</v>
      </c>
      <c r="M196" s="18">
        <v>0.34</v>
      </c>
      <c r="N196" s="18">
        <v>0.09</v>
      </c>
      <c r="O196" s="18">
        <v>0.19</v>
      </c>
      <c r="P196" s="18">
        <v>0.14000000000000001</v>
      </c>
      <c r="Q196" s="18">
        <v>7.84</v>
      </c>
      <c r="R196" s="18">
        <v>7.27</v>
      </c>
      <c r="S196" s="18">
        <v>3.56</v>
      </c>
      <c r="T196" s="18">
        <v>1454</v>
      </c>
      <c r="U196" s="18">
        <v>742</v>
      </c>
      <c r="V196" s="5" t="s">
        <v>412</v>
      </c>
      <c r="W196" s="5" t="s">
        <v>413</v>
      </c>
      <c r="X196" s="5" t="s">
        <v>414</v>
      </c>
      <c r="Y196" s="5" t="s">
        <v>415</v>
      </c>
      <c r="Z196" s="5" t="s">
        <v>499</v>
      </c>
      <c r="AA196" s="5"/>
      <c r="AB196" s="5" t="s">
        <v>417</v>
      </c>
      <c r="AC196" s="5" t="s">
        <v>418</v>
      </c>
      <c r="AD196" s="18"/>
      <c r="AE196" s="5"/>
    </row>
    <row r="197" spans="1:31" ht="15" customHeight="1" x14ac:dyDescent="0.3">
      <c r="A197" s="5" t="s">
        <v>828</v>
      </c>
      <c r="B197" s="5" t="s">
        <v>829</v>
      </c>
      <c r="C197" s="5" t="s">
        <v>479</v>
      </c>
      <c r="D197" s="5" t="s">
        <v>431</v>
      </c>
      <c r="E197" s="5" t="s">
        <v>423</v>
      </c>
      <c r="F197" s="17">
        <v>100</v>
      </c>
      <c r="G197" s="5" t="s">
        <v>433</v>
      </c>
      <c r="H197" s="18">
        <v>42</v>
      </c>
      <c r="I197" s="18">
        <v>38.33</v>
      </c>
      <c r="J197" s="18">
        <v>3.67</v>
      </c>
      <c r="K197" s="18">
        <v>1.2</v>
      </c>
      <c r="L197" s="18">
        <v>3.19</v>
      </c>
      <c r="M197" s="18">
        <v>0</v>
      </c>
      <c r="N197" s="18">
        <v>2.4300000000000002</v>
      </c>
      <c r="O197" s="18">
        <v>0</v>
      </c>
      <c r="P197" s="18">
        <v>0</v>
      </c>
      <c r="Q197" s="18">
        <v>33.94</v>
      </c>
      <c r="R197" s="18">
        <v>31.51</v>
      </c>
      <c r="S197" s="18">
        <v>16.8</v>
      </c>
      <c r="T197" s="18">
        <v>3151</v>
      </c>
      <c r="U197" s="18">
        <v>1471</v>
      </c>
      <c r="V197" s="5" t="s">
        <v>444</v>
      </c>
      <c r="W197" s="5" t="s">
        <v>424</v>
      </c>
      <c r="X197" s="5" t="s">
        <v>445</v>
      </c>
      <c r="Y197" s="5" t="s">
        <v>415</v>
      </c>
      <c r="Z197" s="5" t="s">
        <v>502</v>
      </c>
      <c r="AA197" s="5"/>
      <c r="AB197" s="5" t="s">
        <v>417</v>
      </c>
      <c r="AC197" s="5" t="s">
        <v>482</v>
      </c>
      <c r="AD197" s="18">
        <v>48.21</v>
      </c>
      <c r="AE197" s="19">
        <v>0.17299999999999999</v>
      </c>
    </row>
    <row r="198" spans="1:31" ht="15" customHeight="1" x14ac:dyDescent="0.3">
      <c r="A198" s="5" t="s">
        <v>830</v>
      </c>
      <c r="B198" s="5" t="s">
        <v>816</v>
      </c>
      <c r="C198" s="5" t="s">
        <v>454</v>
      </c>
      <c r="D198" s="5" t="s">
        <v>507</v>
      </c>
      <c r="E198" s="5" t="s">
        <v>432</v>
      </c>
      <c r="F198" s="17">
        <v>100</v>
      </c>
      <c r="G198" s="5" t="s">
        <v>433</v>
      </c>
      <c r="H198" s="18">
        <v>8.9</v>
      </c>
      <c r="I198" s="18">
        <v>8.5299999999999994</v>
      </c>
      <c r="J198" s="18">
        <v>0.37</v>
      </c>
      <c r="K198" s="18">
        <v>0.09</v>
      </c>
      <c r="L198" s="18">
        <v>0.45</v>
      </c>
      <c r="M198" s="18">
        <v>0.28999999999999998</v>
      </c>
      <c r="N198" s="18">
        <v>0.39</v>
      </c>
      <c r="O198" s="18">
        <v>0</v>
      </c>
      <c r="P198" s="18">
        <v>0</v>
      </c>
      <c r="Q198" s="18">
        <v>7.99</v>
      </c>
      <c r="R198" s="18">
        <v>7.31</v>
      </c>
      <c r="S198" s="18">
        <v>3.56</v>
      </c>
      <c r="T198" s="18">
        <v>731</v>
      </c>
      <c r="U198" s="18">
        <v>375</v>
      </c>
      <c r="V198" s="5" t="s">
        <v>444</v>
      </c>
      <c r="W198" s="5" t="s">
        <v>413</v>
      </c>
      <c r="X198" s="5" t="s">
        <v>456</v>
      </c>
      <c r="Y198" s="5" t="s">
        <v>415</v>
      </c>
      <c r="Z198" s="5" t="s">
        <v>457</v>
      </c>
      <c r="AA198" s="5"/>
      <c r="AB198" s="5" t="s">
        <v>417</v>
      </c>
      <c r="AC198" s="5" t="s">
        <v>427</v>
      </c>
      <c r="AD198" s="18"/>
      <c r="AE198" s="5"/>
    </row>
    <row r="199" spans="1:31" ht="15" customHeight="1" x14ac:dyDescent="0.3">
      <c r="A199" s="5" t="s">
        <v>831</v>
      </c>
      <c r="B199" s="5" t="s">
        <v>832</v>
      </c>
      <c r="C199" s="5" t="s">
        <v>408</v>
      </c>
      <c r="D199" s="5" t="s">
        <v>409</v>
      </c>
      <c r="E199" s="5" t="s">
        <v>432</v>
      </c>
      <c r="F199" s="17">
        <v>500</v>
      </c>
      <c r="G199" s="5" t="s">
        <v>411</v>
      </c>
      <c r="H199" s="18">
        <v>8.5</v>
      </c>
      <c r="I199" s="18">
        <v>8.0500000000000007</v>
      </c>
      <c r="J199" s="18">
        <v>0.45</v>
      </c>
      <c r="K199" s="18">
        <v>0.11</v>
      </c>
      <c r="L199" s="18">
        <v>0.11</v>
      </c>
      <c r="M199" s="18">
        <v>0.3</v>
      </c>
      <c r="N199" s="18">
        <v>0</v>
      </c>
      <c r="O199" s="18">
        <v>0</v>
      </c>
      <c r="P199" s="18">
        <v>0.13</v>
      </c>
      <c r="Q199" s="18">
        <v>7.83</v>
      </c>
      <c r="R199" s="18">
        <v>7.4</v>
      </c>
      <c r="S199" s="18">
        <v>3.4</v>
      </c>
      <c r="T199" s="18">
        <v>3700</v>
      </c>
      <c r="U199" s="18">
        <v>2000</v>
      </c>
      <c r="V199" s="5" t="s">
        <v>412</v>
      </c>
      <c r="W199" s="5" t="s">
        <v>413</v>
      </c>
      <c r="X199" s="5" t="s">
        <v>414</v>
      </c>
      <c r="Y199" s="5" t="s">
        <v>415</v>
      </c>
      <c r="Z199" s="5" t="s">
        <v>436</v>
      </c>
      <c r="AA199" s="5"/>
      <c r="AB199" s="5" t="s">
        <v>417</v>
      </c>
      <c r="AC199" s="5" t="s">
        <v>418</v>
      </c>
      <c r="AD199" s="18"/>
      <c r="AE199" s="5"/>
    </row>
    <row r="200" spans="1:31" ht="15" customHeight="1" x14ac:dyDescent="0.3">
      <c r="A200" s="5" t="s">
        <v>833</v>
      </c>
      <c r="B200" s="5" t="s">
        <v>834</v>
      </c>
      <c r="C200" s="5" t="s">
        <v>443</v>
      </c>
      <c r="D200" s="5" t="s">
        <v>521</v>
      </c>
      <c r="E200" s="5" t="s">
        <v>432</v>
      </c>
      <c r="F200" s="17">
        <v>200</v>
      </c>
      <c r="G200" s="5" t="s">
        <v>411</v>
      </c>
      <c r="H200" s="18">
        <v>12.75</v>
      </c>
      <c r="I200" s="18">
        <v>12.72</v>
      </c>
      <c r="J200" s="18">
        <v>0.03</v>
      </c>
      <c r="K200" s="18">
        <v>0.1</v>
      </c>
      <c r="L200" s="18">
        <v>0.11</v>
      </c>
      <c r="M200" s="18">
        <v>0</v>
      </c>
      <c r="N200" s="18">
        <v>0.12</v>
      </c>
      <c r="O200" s="18">
        <v>0</v>
      </c>
      <c r="P200" s="18">
        <v>0.25</v>
      </c>
      <c r="Q200" s="18">
        <v>12.51</v>
      </c>
      <c r="R200" s="18">
        <v>12.14</v>
      </c>
      <c r="S200" s="18">
        <v>5.0999999999999996</v>
      </c>
      <c r="T200" s="18">
        <v>2428</v>
      </c>
      <c r="U200" s="18">
        <v>1408</v>
      </c>
      <c r="V200" s="5" t="s">
        <v>444</v>
      </c>
      <c r="W200" s="5" t="s">
        <v>413</v>
      </c>
      <c r="X200" s="5" t="s">
        <v>445</v>
      </c>
      <c r="Y200" s="5" t="s">
        <v>489</v>
      </c>
      <c r="Z200" s="5" t="s">
        <v>502</v>
      </c>
      <c r="AA200" s="5"/>
      <c r="AB200" s="5" t="s">
        <v>417</v>
      </c>
      <c r="AC200" s="5" t="s">
        <v>448</v>
      </c>
      <c r="AD200" s="18"/>
      <c r="AE200" s="5"/>
    </row>
    <row r="201" spans="1:31" ht="15" customHeight="1" x14ac:dyDescent="0.3">
      <c r="A201" s="5" t="s">
        <v>835</v>
      </c>
      <c r="B201" s="5" t="s">
        <v>684</v>
      </c>
      <c r="C201" s="5" t="s">
        <v>485</v>
      </c>
      <c r="D201" s="5" t="s">
        <v>422</v>
      </c>
      <c r="E201" s="5" t="s">
        <v>423</v>
      </c>
      <c r="F201" s="17">
        <v>1000</v>
      </c>
      <c r="G201" s="5" t="s">
        <v>411</v>
      </c>
      <c r="H201" s="18">
        <v>3.2</v>
      </c>
      <c r="I201" s="18">
        <v>2.86</v>
      </c>
      <c r="J201" s="18">
        <v>0.34</v>
      </c>
      <c r="K201" s="18">
        <v>0.02</v>
      </c>
      <c r="L201" s="18">
        <v>0.03</v>
      </c>
      <c r="M201" s="18">
        <v>0</v>
      </c>
      <c r="N201" s="18">
        <v>0</v>
      </c>
      <c r="O201" s="18">
        <v>0</v>
      </c>
      <c r="P201" s="18">
        <v>0</v>
      </c>
      <c r="Q201" s="18">
        <v>2.81</v>
      </c>
      <c r="R201" s="18">
        <v>2.81</v>
      </c>
      <c r="S201" s="18">
        <v>1.28</v>
      </c>
      <c r="T201" s="18">
        <v>2810</v>
      </c>
      <c r="U201" s="18">
        <v>1530</v>
      </c>
      <c r="V201" s="5" t="s">
        <v>444</v>
      </c>
      <c r="W201" s="5" t="s">
        <v>413</v>
      </c>
      <c r="X201" s="5" t="s">
        <v>456</v>
      </c>
      <c r="Y201" s="5" t="s">
        <v>415</v>
      </c>
      <c r="Z201" s="5" t="s">
        <v>496</v>
      </c>
      <c r="AA201" s="5"/>
      <c r="AB201" s="5" t="s">
        <v>417</v>
      </c>
      <c r="AC201" s="5" t="s">
        <v>427</v>
      </c>
      <c r="AD201" s="18"/>
      <c r="AE201" s="5"/>
    </row>
    <row r="202" spans="1:31" ht="15" customHeight="1" x14ac:dyDescent="0.3">
      <c r="A202" s="5" t="s">
        <v>836</v>
      </c>
      <c r="B202" s="5" t="s">
        <v>600</v>
      </c>
      <c r="C202" s="5" t="s">
        <v>408</v>
      </c>
      <c r="D202" s="5" t="s">
        <v>409</v>
      </c>
      <c r="E202" s="5" t="s">
        <v>475</v>
      </c>
      <c r="F202" s="17">
        <v>1000</v>
      </c>
      <c r="G202" s="5" t="s">
        <v>411</v>
      </c>
      <c r="H202" s="18">
        <v>8.5</v>
      </c>
      <c r="I202" s="18">
        <v>7.94</v>
      </c>
      <c r="J202" s="18">
        <v>0.56000000000000005</v>
      </c>
      <c r="K202" s="18">
        <v>0.13</v>
      </c>
      <c r="L202" s="18">
        <v>0.04</v>
      </c>
      <c r="M202" s="18">
        <v>0</v>
      </c>
      <c r="N202" s="18">
        <v>0</v>
      </c>
      <c r="O202" s="18">
        <v>0.16</v>
      </c>
      <c r="P202" s="18">
        <v>0</v>
      </c>
      <c r="Q202" s="18">
        <v>7.61</v>
      </c>
      <c r="R202" s="18">
        <v>7.61</v>
      </c>
      <c r="S202" s="18">
        <v>3.4</v>
      </c>
      <c r="T202" s="18">
        <v>7610</v>
      </c>
      <c r="U202" s="18">
        <v>4210</v>
      </c>
      <c r="V202" s="5" t="s">
        <v>412</v>
      </c>
      <c r="W202" s="5" t="s">
        <v>413</v>
      </c>
      <c r="X202" s="5" t="s">
        <v>414</v>
      </c>
      <c r="Y202" s="5" t="s">
        <v>426</v>
      </c>
      <c r="Z202" s="5"/>
      <c r="AA202" s="5"/>
      <c r="AB202" s="5" t="s">
        <v>417</v>
      </c>
      <c r="AC202" s="5" t="s">
        <v>418</v>
      </c>
      <c r="AD202" s="18"/>
      <c r="AE202" s="5"/>
    </row>
    <row r="203" spans="1:31" ht="15" customHeight="1" x14ac:dyDescent="0.3">
      <c r="A203" s="5" t="s">
        <v>837</v>
      </c>
      <c r="B203" s="5" t="s">
        <v>552</v>
      </c>
      <c r="C203" s="5" t="s">
        <v>479</v>
      </c>
      <c r="D203" s="5" t="s">
        <v>521</v>
      </c>
      <c r="E203" s="5" t="s">
        <v>475</v>
      </c>
      <c r="F203" s="17">
        <v>5000</v>
      </c>
      <c r="G203" s="5" t="s">
        <v>411</v>
      </c>
      <c r="H203" s="18">
        <v>12.75</v>
      </c>
      <c r="I203" s="18">
        <v>12.57</v>
      </c>
      <c r="J203" s="18">
        <v>0.18</v>
      </c>
      <c r="K203" s="18">
        <v>0.3</v>
      </c>
      <c r="L203" s="18">
        <v>0.48</v>
      </c>
      <c r="M203" s="18">
        <v>0.14000000000000001</v>
      </c>
      <c r="N203" s="18">
        <v>0.3</v>
      </c>
      <c r="O203" s="18">
        <v>0</v>
      </c>
      <c r="P203" s="18">
        <v>0</v>
      </c>
      <c r="Q203" s="18">
        <v>11.79</v>
      </c>
      <c r="R203" s="18">
        <v>11.35</v>
      </c>
      <c r="S203" s="18">
        <v>5.0999999999999996</v>
      </c>
      <c r="T203" s="18">
        <v>56750</v>
      </c>
      <c r="U203" s="18">
        <v>31250</v>
      </c>
      <c r="V203" s="5" t="s">
        <v>444</v>
      </c>
      <c r="W203" s="5" t="s">
        <v>424</v>
      </c>
      <c r="X203" s="5" t="s">
        <v>445</v>
      </c>
      <c r="Y203" s="5" t="s">
        <v>415</v>
      </c>
      <c r="Z203" s="5" t="s">
        <v>496</v>
      </c>
      <c r="AA203" s="5"/>
      <c r="AB203" s="5" t="s">
        <v>417</v>
      </c>
      <c r="AC203" s="5" t="s">
        <v>448</v>
      </c>
      <c r="AD203" s="18">
        <v>16.22</v>
      </c>
      <c r="AE203" s="19">
        <v>0.14299999999999999</v>
      </c>
    </row>
  </sheetData>
  <mergeCells count="2">
    <mergeCell ref="A1:AC1"/>
    <mergeCell ref="A2:AC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G13"/>
  <sheetViews>
    <sheetView zoomScaleNormal="100" workbookViewId="0">
      <selection sqref="A1:G1"/>
    </sheetView>
  </sheetViews>
  <sheetFormatPr defaultColWidth="8.6640625" defaultRowHeight="15" customHeight="1" x14ac:dyDescent="0.3"/>
  <cols>
    <col min="1" max="7" width="22" customWidth="1"/>
  </cols>
  <sheetData>
    <row r="1" spans="1:7" ht="17.25" customHeight="1" x14ac:dyDescent="0.3">
      <c r="A1" s="2" t="s">
        <v>838</v>
      </c>
      <c r="B1" s="2"/>
      <c r="C1" s="2"/>
      <c r="D1" s="2"/>
      <c r="E1" s="2"/>
      <c r="F1" s="2"/>
      <c r="G1" s="2"/>
    </row>
    <row r="3" spans="1:7" ht="15" customHeight="1" x14ac:dyDescent="0.3">
      <c r="A3" s="12" t="s">
        <v>839</v>
      </c>
      <c r="B3" s="12" t="s">
        <v>840</v>
      </c>
      <c r="C3" s="12" t="s">
        <v>841</v>
      </c>
      <c r="D3" s="12" t="s">
        <v>842</v>
      </c>
      <c r="E3" s="12" t="s">
        <v>843</v>
      </c>
      <c r="F3" s="12" t="s">
        <v>844</v>
      </c>
      <c r="G3" s="12" t="s">
        <v>845</v>
      </c>
    </row>
    <row r="4" spans="1:7" ht="15" customHeight="1" x14ac:dyDescent="0.3">
      <c r="A4" s="5" t="s">
        <v>485</v>
      </c>
      <c r="B4" s="5" t="s">
        <v>846</v>
      </c>
      <c r="C4" s="5" t="s">
        <v>444</v>
      </c>
      <c r="D4" s="5" t="s">
        <v>456</v>
      </c>
      <c r="E4" s="5" t="s">
        <v>413</v>
      </c>
      <c r="F4" s="5" t="s">
        <v>847</v>
      </c>
      <c r="G4" s="5">
        <v>5</v>
      </c>
    </row>
    <row r="5" spans="1:7" ht="15" customHeight="1" x14ac:dyDescent="0.3">
      <c r="A5" s="5" t="s">
        <v>408</v>
      </c>
      <c r="B5" s="5" t="s">
        <v>848</v>
      </c>
      <c r="C5" s="5" t="s">
        <v>412</v>
      </c>
      <c r="D5" s="5" t="s">
        <v>414</v>
      </c>
      <c r="E5" s="5" t="s">
        <v>413</v>
      </c>
      <c r="F5" s="5" t="s">
        <v>849</v>
      </c>
      <c r="G5" s="5">
        <v>3</v>
      </c>
    </row>
    <row r="6" spans="1:7" ht="15" customHeight="1" x14ac:dyDescent="0.3">
      <c r="A6" s="5" t="s">
        <v>454</v>
      </c>
      <c r="B6" s="5" t="s">
        <v>850</v>
      </c>
      <c r="C6" s="5" t="s">
        <v>444</v>
      </c>
      <c r="D6" s="5" t="s">
        <v>456</v>
      </c>
      <c r="E6" s="5" t="s">
        <v>413</v>
      </c>
      <c r="F6" s="5" t="s">
        <v>847</v>
      </c>
      <c r="G6" s="5">
        <v>8</v>
      </c>
    </row>
    <row r="7" spans="1:7" ht="15" customHeight="1" x14ac:dyDescent="0.3">
      <c r="A7" s="5" t="s">
        <v>531</v>
      </c>
      <c r="B7" s="5" t="s">
        <v>851</v>
      </c>
      <c r="C7" s="5" t="s">
        <v>434</v>
      </c>
      <c r="D7" s="5" t="s">
        <v>425</v>
      </c>
      <c r="E7" s="5" t="s">
        <v>435</v>
      </c>
      <c r="F7" s="5" t="s">
        <v>847</v>
      </c>
      <c r="G7" s="5">
        <v>2</v>
      </c>
    </row>
    <row r="8" spans="1:7" ht="15" customHeight="1" x14ac:dyDescent="0.3">
      <c r="A8" s="5" t="s">
        <v>479</v>
      </c>
      <c r="B8" s="5" t="s">
        <v>852</v>
      </c>
      <c r="C8" s="5" t="s">
        <v>444</v>
      </c>
      <c r="D8" s="5" t="s">
        <v>445</v>
      </c>
      <c r="E8" s="5" t="s">
        <v>424</v>
      </c>
      <c r="F8" s="5" t="s">
        <v>849</v>
      </c>
      <c r="G8" s="5">
        <v>12</v>
      </c>
    </row>
    <row r="9" spans="1:7" ht="15" customHeight="1" x14ac:dyDescent="0.3">
      <c r="A9" s="5" t="s">
        <v>575</v>
      </c>
      <c r="B9" s="5" t="s">
        <v>853</v>
      </c>
      <c r="C9" s="5" t="s">
        <v>412</v>
      </c>
      <c r="D9" s="5" t="s">
        <v>414</v>
      </c>
      <c r="E9" s="5" t="s">
        <v>413</v>
      </c>
      <c r="F9" s="5" t="s">
        <v>854</v>
      </c>
      <c r="G9" s="5">
        <v>4</v>
      </c>
    </row>
    <row r="10" spans="1:7" ht="15" customHeight="1" x14ac:dyDescent="0.3">
      <c r="A10" s="5" t="s">
        <v>474</v>
      </c>
      <c r="B10" s="5" t="s">
        <v>855</v>
      </c>
      <c r="C10" s="5" t="s">
        <v>434</v>
      </c>
      <c r="D10" s="5" t="s">
        <v>456</v>
      </c>
      <c r="E10" s="5" t="s">
        <v>435</v>
      </c>
      <c r="F10" s="5" t="s">
        <v>847</v>
      </c>
      <c r="G10" s="5">
        <v>1</v>
      </c>
    </row>
    <row r="11" spans="1:7" ht="15" customHeight="1" x14ac:dyDescent="0.3">
      <c r="A11" s="5" t="s">
        <v>443</v>
      </c>
      <c r="B11" s="5" t="s">
        <v>856</v>
      </c>
      <c r="C11" s="5" t="s">
        <v>444</v>
      </c>
      <c r="D11" s="5" t="s">
        <v>445</v>
      </c>
      <c r="E11" s="5" t="s">
        <v>413</v>
      </c>
      <c r="F11" s="5" t="s">
        <v>857</v>
      </c>
      <c r="G11" s="5">
        <v>6</v>
      </c>
    </row>
    <row r="12" spans="1:7" ht="15" customHeight="1" x14ac:dyDescent="0.3">
      <c r="A12" s="5" t="s">
        <v>421</v>
      </c>
      <c r="B12" s="5" t="s">
        <v>858</v>
      </c>
      <c r="C12" s="5" t="s">
        <v>412</v>
      </c>
      <c r="D12" s="5" t="s">
        <v>425</v>
      </c>
      <c r="E12" s="5" t="s">
        <v>424</v>
      </c>
      <c r="F12" s="5" t="s">
        <v>859</v>
      </c>
      <c r="G12" s="5">
        <v>3</v>
      </c>
    </row>
    <row r="13" spans="1:7" ht="15" customHeight="1" x14ac:dyDescent="0.3">
      <c r="A13" s="5" t="s">
        <v>430</v>
      </c>
      <c r="B13" s="5" t="s">
        <v>860</v>
      </c>
      <c r="C13" s="5" t="s">
        <v>434</v>
      </c>
      <c r="D13" s="5" t="s">
        <v>414</v>
      </c>
      <c r="E13" s="5" t="s">
        <v>435</v>
      </c>
      <c r="F13" s="5" t="s">
        <v>861</v>
      </c>
      <c r="G13" s="5">
        <v>2</v>
      </c>
    </row>
  </sheetData>
  <mergeCells count="1">
    <mergeCell ref="A1:G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J13"/>
  <sheetViews>
    <sheetView zoomScaleNormal="100" workbookViewId="0">
      <selection sqref="A1:G1"/>
    </sheetView>
  </sheetViews>
  <sheetFormatPr defaultColWidth="8.6640625" defaultRowHeight="15" customHeight="1" x14ac:dyDescent="0.3"/>
  <cols>
    <col min="1" max="7" width="24" customWidth="1"/>
    <col min="8" max="8" width="40" customWidth="1"/>
    <col min="9" max="10" width="18" customWidth="1"/>
  </cols>
  <sheetData>
    <row r="1" spans="1:10" ht="17.25" customHeight="1" x14ac:dyDescent="0.3">
      <c r="A1" s="2" t="s">
        <v>862</v>
      </c>
      <c r="B1" s="2"/>
      <c r="C1" s="2"/>
      <c r="D1" s="2"/>
      <c r="E1" s="2"/>
      <c r="F1" s="2"/>
      <c r="G1" s="2"/>
    </row>
    <row r="3" spans="1:10" ht="15" customHeight="1" x14ac:dyDescent="0.3">
      <c r="A3" s="12" t="s">
        <v>863</v>
      </c>
      <c r="B3" s="12" t="s">
        <v>864</v>
      </c>
      <c r="C3" s="12" t="s">
        <v>865</v>
      </c>
      <c r="D3" s="12" t="s">
        <v>866</v>
      </c>
      <c r="E3" s="12" t="s">
        <v>867</v>
      </c>
      <c r="F3" s="12" t="s">
        <v>382</v>
      </c>
      <c r="G3" s="12" t="s">
        <v>868</v>
      </c>
      <c r="H3" s="4" t="s">
        <v>869</v>
      </c>
      <c r="I3" s="4" t="s">
        <v>870</v>
      </c>
      <c r="J3" s="4" t="s">
        <v>871</v>
      </c>
    </row>
    <row r="4" spans="1:10" ht="15" customHeight="1" x14ac:dyDescent="0.3">
      <c r="A4" s="5" t="s">
        <v>409</v>
      </c>
      <c r="B4" s="5" t="s">
        <v>872</v>
      </c>
      <c r="C4" s="5" t="s">
        <v>873</v>
      </c>
      <c r="D4" s="5" t="s">
        <v>874</v>
      </c>
      <c r="E4" s="5" t="s">
        <v>875</v>
      </c>
      <c r="F4" s="18">
        <v>8.5</v>
      </c>
      <c r="G4" s="18">
        <v>3.4</v>
      </c>
      <c r="H4" s="7" t="s">
        <v>876</v>
      </c>
      <c r="I4" s="5" t="s">
        <v>877</v>
      </c>
      <c r="J4" s="5" t="s">
        <v>878</v>
      </c>
    </row>
    <row r="5" spans="1:10" ht="15" customHeight="1" x14ac:dyDescent="0.3">
      <c r="A5" s="5" t="s">
        <v>521</v>
      </c>
      <c r="B5" s="5" t="s">
        <v>879</v>
      </c>
      <c r="C5" s="5" t="s">
        <v>880</v>
      </c>
      <c r="D5" s="5" t="s">
        <v>874</v>
      </c>
      <c r="E5" s="5" t="s">
        <v>881</v>
      </c>
      <c r="F5" s="18">
        <v>12.75</v>
      </c>
      <c r="G5" s="18">
        <v>5.0999999999999996</v>
      </c>
      <c r="H5" s="7" t="s">
        <v>882</v>
      </c>
      <c r="I5" s="5" t="s">
        <v>883</v>
      </c>
      <c r="J5" s="5" t="s">
        <v>884</v>
      </c>
    </row>
    <row r="6" spans="1:10" ht="15" customHeight="1" x14ac:dyDescent="0.3">
      <c r="A6" s="5" t="s">
        <v>451</v>
      </c>
      <c r="B6" s="5" t="s">
        <v>885</v>
      </c>
      <c r="C6" s="5" t="s">
        <v>886</v>
      </c>
      <c r="D6" s="5" t="s">
        <v>874</v>
      </c>
      <c r="E6" s="5" t="s">
        <v>887</v>
      </c>
      <c r="F6" s="18">
        <v>15.2</v>
      </c>
      <c r="G6" s="18">
        <v>6.08</v>
      </c>
      <c r="H6" s="7" t="s">
        <v>888</v>
      </c>
      <c r="I6" s="5" t="s">
        <v>889</v>
      </c>
      <c r="J6" s="5" t="s">
        <v>890</v>
      </c>
    </row>
    <row r="7" spans="1:10" ht="15" customHeight="1" x14ac:dyDescent="0.3">
      <c r="A7" s="5" t="s">
        <v>440</v>
      </c>
      <c r="B7" s="5" t="s">
        <v>891</v>
      </c>
      <c r="C7" s="5" t="s">
        <v>892</v>
      </c>
      <c r="D7" s="5" t="s">
        <v>874</v>
      </c>
      <c r="E7" s="5" t="s">
        <v>893</v>
      </c>
      <c r="F7" s="18">
        <v>0.45</v>
      </c>
      <c r="G7" s="18">
        <v>0.18</v>
      </c>
      <c r="H7" s="7" t="s">
        <v>894</v>
      </c>
      <c r="I7" s="5" t="s">
        <v>895</v>
      </c>
      <c r="J7" s="5" t="s">
        <v>878</v>
      </c>
    </row>
    <row r="8" spans="1:10" ht="15" customHeight="1" x14ac:dyDescent="0.3">
      <c r="A8" s="5" t="s">
        <v>431</v>
      </c>
      <c r="B8" s="5" t="s">
        <v>896</v>
      </c>
      <c r="C8" s="5" t="s">
        <v>897</v>
      </c>
      <c r="D8" s="5" t="s">
        <v>898</v>
      </c>
      <c r="E8" s="5" t="s">
        <v>881</v>
      </c>
      <c r="F8" s="18">
        <v>42</v>
      </c>
      <c r="G8" s="18">
        <v>16.8</v>
      </c>
      <c r="H8" s="7" t="s">
        <v>899</v>
      </c>
      <c r="I8" s="5" t="s">
        <v>900</v>
      </c>
      <c r="J8" s="5" t="s">
        <v>884</v>
      </c>
    </row>
    <row r="9" spans="1:10" ht="15" customHeight="1" x14ac:dyDescent="0.3">
      <c r="A9" s="5" t="s">
        <v>507</v>
      </c>
      <c r="B9" s="5" t="s">
        <v>901</v>
      </c>
      <c r="C9" s="5" t="s">
        <v>902</v>
      </c>
      <c r="D9" s="5" t="s">
        <v>898</v>
      </c>
      <c r="E9" s="5" t="s">
        <v>903</v>
      </c>
      <c r="F9" s="18">
        <v>8.9</v>
      </c>
      <c r="G9" s="18">
        <v>3.56</v>
      </c>
      <c r="H9" s="7" t="s">
        <v>904</v>
      </c>
      <c r="I9" s="5" t="s">
        <v>905</v>
      </c>
      <c r="J9" s="5" t="s">
        <v>906</v>
      </c>
    </row>
    <row r="10" spans="1:10" ht="15" customHeight="1" x14ac:dyDescent="0.3">
      <c r="A10" s="5" t="s">
        <v>422</v>
      </c>
      <c r="B10" s="5" t="s">
        <v>907</v>
      </c>
      <c r="C10" s="5" t="s">
        <v>908</v>
      </c>
      <c r="D10" s="5" t="s">
        <v>874</v>
      </c>
      <c r="E10" s="5" t="s">
        <v>909</v>
      </c>
      <c r="F10" s="18">
        <v>3.2</v>
      </c>
      <c r="G10" s="18">
        <v>1.28</v>
      </c>
      <c r="H10" s="7" t="s">
        <v>910</v>
      </c>
      <c r="I10" s="5" t="s">
        <v>911</v>
      </c>
      <c r="J10" s="5" t="s">
        <v>878</v>
      </c>
    </row>
    <row r="11" spans="1:10" ht="15" customHeight="1" x14ac:dyDescent="0.3">
      <c r="A11" s="5" t="s">
        <v>460</v>
      </c>
      <c r="B11" s="5" t="s">
        <v>912</v>
      </c>
      <c r="C11" s="5" t="s">
        <v>913</v>
      </c>
      <c r="D11" s="5" t="s">
        <v>874</v>
      </c>
      <c r="E11" s="5" t="s">
        <v>914</v>
      </c>
      <c r="F11" s="18">
        <v>22.5</v>
      </c>
      <c r="G11" s="18">
        <v>9</v>
      </c>
      <c r="H11" s="7" t="s">
        <v>915</v>
      </c>
      <c r="I11" s="5" t="s">
        <v>916</v>
      </c>
      <c r="J11" s="5" t="s">
        <v>917</v>
      </c>
    </row>
    <row r="12" spans="1:10" ht="15" customHeight="1" x14ac:dyDescent="0.3">
      <c r="A12" s="5" t="s">
        <v>550</v>
      </c>
      <c r="B12" s="5" t="s">
        <v>918</v>
      </c>
      <c r="C12" s="5" t="s">
        <v>919</v>
      </c>
      <c r="D12" s="5" t="s">
        <v>874</v>
      </c>
      <c r="E12" s="5" t="s">
        <v>920</v>
      </c>
      <c r="F12" s="18">
        <v>35</v>
      </c>
      <c r="G12" s="18">
        <v>14</v>
      </c>
      <c r="H12" s="7" t="s">
        <v>921</v>
      </c>
      <c r="I12" s="5" t="s">
        <v>922</v>
      </c>
      <c r="J12" s="5" t="s">
        <v>884</v>
      </c>
    </row>
    <row r="13" spans="1:10" ht="15" customHeight="1" x14ac:dyDescent="0.3">
      <c r="A13" s="5" t="s">
        <v>492</v>
      </c>
      <c r="B13" s="5" t="s">
        <v>923</v>
      </c>
      <c r="C13" s="5" t="s">
        <v>924</v>
      </c>
      <c r="D13" s="5" t="s">
        <v>874</v>
      </c>
      <c r="E13" s="5" t="s">
        <v>881</v>
      </c>
      <c r="F13" s="18">
        <v>28</v>
      </c>
      <c r="G13" s="18">
        <v>11.2</v>
      </c>
      <c r="H13" s="7" t="s">
        <v>925</v>
      </c>
      <c r="I13" s="5" t="s">
        <v>926</v>
      </c>
      <c r="J13" s="5" t="s">
        <v>890</v>
      </c>
    </row>
  </sheetData>
  <mergeCells count="1">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F8"/>
  <sheetViews>
    <sheetView zoomScaleNormal="100" workbookViewId="0">
      <selection sqref="A1:F1"/>
    </sheetView>
  </sheetViews>
  <sheetFormatPr defaultColWidth="8.6640625" defaultRowHeight="15" customHeight="1" x14ac:dyDescent="0.3"/>
  <cols>
    <col min="1" max="6" width="20" customWidth="1"/>
  </cols>
  <sheetData>
    <row r="1" spans="1:6" ht="17.25" customHeight="1" x14ac:dyDescent="0.3">
      <c r="A1" s="2" t="s">
        <v>927</v>
      </c>
      <c r="B1" s="2"/>
      <c r="C1" s="2"/>
      <c r="D1" s="2"/>
      <c r="E1" s="2"/>
      <c r="F1" s="2"/>
    </row>
    <row r="3" spans="1:6" ht="15" customHeight="1" x14ac:dyDescent="0.3">
      <c r="A3" s="12" t="s">
        <v>928</v>
      </c>
      <c r="B3" s="12" t="s">
        <v>929</v>
      </c>
      <c r="C3" s="12" t="s">
        <v>842</v>
      </c>
      <c r="D3" s="12" t="s">
        <v>930</v>
      </c>
      <c r="E3" s="12" t="s">
        <v>845</v>
      </c>
      <c r="F3" s="12" t="s">
        <v>931</v>
      </c>
    </row>
    <row r="4" spans="1:6" ht="15" customHeight="1" x14ac:dyDescent="0.3">
      <c r="A4" s="5" t="s">
        <v>432</v>
      </c>
      <c r="B4" s="5" t="s">
        <v>932</v>
      </c>
      <c r="C4" s="5" t="s">
        <v>456</v>
      </c>
      <c r="D4" s="5" t="s">
        <v>933</v>
      </c>
      <c r="E4" s="5">
        <v>7</v>
      </c>
      <c r="F4" s="20">
        <v>4200000</v>
      </c>
    </row>
    <row r="5" spans="1:6" ht="15" customHeight="1" x14ac:dyDescent="0.3">
      <c r="A5" s="5" t="s">
        <v>423</v>
      </c>
      <c r="B5" s="5" t="s">
        <v>934</v>
      </c>
      <c r="C5" s="5" t="s">
        <v>414</v>
      </c>
      <c r="D5" s="5" t="s">
        <v>935</v>
      </c>
      <c r="E5" s="5">
        <v>4</v>
      </c>
      <c r="F5" s="20">
        <v>2800000</v>
      </c>
    </row>
    <row r="6" spans="1:6" ht="15" customHeight="1" x14ac:dyDescent="0.3">
      <c r="A6" s="5" t="s">
        <v>410</v>
      </c>
      <c r="B6" s="5" t="s">
        <v>936</v>
      </c>
      <c r="C6" s="5" t="s">
        <v>445</v>
      </c>
      <c r="D6" s="5" t="s">
        <v>933</v>
      </c>
      <c r="E6" s="5">
        <v>9</v>
      </c>
      <c r="F6" s="20">
        <v>5100000</v>
      </c>
    </row>
    <row r="7" spans="1:6" ht="15" customHeight="1" x14ac:dyDescent="0.3">
      <c r="A7" s="5" t="s">
        <v>475</v>
      </c>
      <c r="B7" s="5" t="s">
        <v>937</v>
      </c>
      <c r="C7" s="5" t="s">
        <v>425</v>
      </c>
      <c r="D7" s="5" t="s">
        <v>938</v>
      </c>
      <c r="E7" s="5">
        <v>2</v>
      </c>
      <c r="F7" s="20">
        <v>1500000</v>
      </c>
    </row>
    <row r="8" spans="1:6" ht="15" customHeight="1" x14ac:dyDescent="0.3">
      <c r="A8" s="5" t="s">
        <v>455</v>
      </c>
      <c r="B8" s="5" t="s">
        <v>939</v>
      </c>
      <c r="C8" s="5" t="s">
        <v>414</v>
      </c>
      <c r="D8" s="5" t="s">
        <v>935</v>
      </c>
      <c r="E8" s="5">
        <v>5</v>
      </c>
      <c r="F8" s="20">
        <v>3300000</v>
      </c>
    </row>
  </sheetData>
  <mergeCells count="1">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sheetPr>
  <dimension ref="A1:Y63"/>
  <sheetViews>
    <sheetView zoomScaleNormal="100" workbookViewId="0">
      <pane ySplit="3" topLeftCell="A4" activePane="bottomLeft" state="frozen"/>
      <selection pane="bottomLeft" sqref="A1:Y1"/>
    </sheetView>
  </sheetViews>
  <sheetFormatPr defaultColWidth="8.6640625" defaultRowHeight="15" customHeight="1" x14ac:dyDescent="0.3"/>
  <cols>
    <col min="1" max="19" width="18" customWidth="1"/>
    <col min="20" max="25" width="22" customWidth="1"/>
  </cols>
  <sheetData>
    <row r="1" spans="1:25" ht="17.25" customHeight="1" x14ac:dyDescent="0.3">
      <c r="A1" s="2" t="s">
        <v>940</v>
      </c>
      <c r="B1" s="2"/>
      <c r="C1" s="2"/>
      <c r="D1" s="2"/>
      <c r="E1" s="2"/>
      <c r="F1" s="2"/>
      <c r="G1" s="2"/>
      <c r="H1" s="2"/>
      <c r="I1" s="2"/>
      <c r="J1" s="2"/>
      <c r="K1" s="2"/>
      <c r="L1" s="2"/>
      <c r="M1" s="2"/>
      <c r="N1" s="2"/>
      <c r="O1" s="2"/>
      <c r="P1" s="2"/>
      <c r="Q1" s="2"/>
      <c r="R1" s="2"/>
      <c r="S1" s="2"/>
      <c r="T1" s="2"/>
      <c r="U1" s="2"/>
      <c r="V1" s="2"/>
      <c r="W1" s="2"/>
      <c r="X1" s="2"/>
      <c r="Y1" s="2"/>
    </row>
    <row r="3" spans="1:25" ht="26.25" customHeight="1" x14ac:dyDescent="0.3">
      <c r="A3" s="12" t="s">
        <v>941</v>
      </c>
      <c r="B3" s="12" t="s">
        <v>377</v>
      </c>
      <c r="C3" s="12" t="s">
        <v>378</v>
      </c>
      <c r="D3" s="12" t="s">
        <v>379</v>
      </c>
      <c r="E3" s="12" t="s">
        <v>942</v>
      </c>
      <c r="F3" s="12" t="s">
        <v>382</v>
      </c>
      <c r="G3" s="12" t="s">
        <v>943</v>
      </c>
      <c r="H3" s="12" t="s">
        <v>944</v>
      </c>
      <c r="I3" s="12" t="s">
        <v>945</v>
      </c>
      <c r="J3" s="12" t="s">
        <v>396</v>
      </c>
      <c r="K3" s="12" t="s">
        <v>946</v>
      </c>
      <c r="L3" s="12" t="s">
        <v>947</v>
      </c>
      <c r="M3" s="12" t="s">
        <v>948</v>
      </c>
      <c r="N3" s="12" t="s">
        <v>949</v>
      </c>
      <c r="O3" s="12" t="s">
        <v>950</v>
      </c>
      <c r="P3" s="12" t="s">
        <v>951</v>
      </c>
      <c r="Q3" s="12" t="s">
        <v>952</v>
      </c>
      <c r="R3" s="12" t="s">
        <v>953</v>
      </c>
      <c r="S3" s="12" t="s">
        <v>954</v>
      </c>
      <c r="T3" s="4" t="s">
        <v>955</v>
      </c>
      <c r="U3" s="4" t="s">
        <v>956</v>
      </c>
      <c r="V3" s="4" t="s">
        <v>957</v>
      </c>
      <c r="W3" s="4" t="s">
        <v>958</v>
      </c>
      <c r="X3" s="4" t="s">
        <v>959</v>
      </c>
      <c r="Y3" s="4" t="s">
        <v>960</v>
      </c>
    </row>
    <row r="4" spans="1:25" ht="15" customHeight="1" x14ac:dyDescent="0.3">
      <c r="A4" s="5" t="s">
        <v>961</v>
      </c>
      <c r="B4" s="5" t="s">
        <v>443</v>
      </c>
      <c r="C4" s="5" t="s">
        <v>431</v>
      </c>
      <c r="D4" s="5" t="s">
        <v>423</v>
      </c>
      <c r="E4" s="5" t="s">
        <v>962</v>
      </c>
      <c r="F4" s="18">
        <v>42</v>
      </c>
      <c r="G4" s="18">
        <v>34.9</v>
      </c>
      <c r="H4" s="19">
        <v>0.16900000000000001</v>
      </c>
      <c r="I4" s="18">
        <v>34900</v>
      </c>
      <c r="J4" s="5" t="s">
        <v>444</v>
      </c>
      <c r="K4" s="5">
        <v>103</v>
      </c>
      <c r="L4" s="5">
        <v>3</v>
      </c>
      <c r="M4" s="5" t="s">
        <v>963</v>
      </c>
      <c r="N4" s="5"/>
      <c r="O4" s="5" t="s">
        <v>964</v>
      </c>
      <c r="P4" s="5" t="s">
        <v>965</v>
      </c>
      <c r="Q4" s="18">
        <v>1625951</v>
      </c>
      <c r="R4" s="5" t="s">
        <v>966</v>
      </c>
      <c r="S4" s="5" t="s">
        <v>967</v>
      </c>
      <c r="T4" s="19">
        <v>0.17100000000000001</v>
      </c>
      <c r="U4" s="19">
        <v>0.12</v>
      </c>
      <c r="V4" s="5" t="s">
        <v>968</v>
      </c>
      <c r="W4" s="5">
        <v>5</v>
      </c>
      <c r="X4" s="5" t="b">
        <f>TRUE()</f>
        <v>1</v>
      </c>
      <c r="Y4" s="19">
        <v>0.15</v>
      </c>
    </row>
    <row r="5" spans="1:25" ht="15" customHeight="1" x14ac:dyDescent="0.3">
      <c r="A5" s="5" t="s">
        <v>969</v>
      </c>
      <c r="B5" s="5" t="s">
        <v>474</v>
      </c>
      <c r="C5" s="5" t="s">
        <v>492</v>
      </c>
      <c r="D5" s="5" t="s">
        <v>423</v>
      </c>
      <c r="E5" s="5" t="s">
        <v>962</v>
      </c>
      <c r="F5" s="18">
        <v>28</v>
      </c>
      <c r="G5" s="18">
        <v>20.94</v>
      </c>
      <c r="H5" s="19">
        <v>0.252</v>
      </c>
      <c r="I5" s="18">
        <v>209400</v>
      </c>
      <c r="J5" s="5" t="s">
        <v>434</v>
      </c>
      <c r="K5" s="5">
        <v>60</v>
      </c>
      <c r="L5" s="5">
        <v>2</v>
      </c>
      <c r="M5" s="5" t="s">
        <v>963</v>
      </c>
      <c r="N5" s="5" t="s">
        <v>970</v>
      </c>
      <c r="O5" s="5" t="s">
        <v>971</v>
      </c>
      <c r="P5" s="5" t="s">
        <v>972</v>
      </c>
      <c r="Q5" s="18">
        <v>978711</v>
      </c>
      <c r="R5" s="5" t="s">
        <v>973</v>
      </c>
      <c r="S5" s="5" t="s">
        <v>967</v>
      </c>
      <c r="T5" s="19">
        <v>0.11</v>
      </c>
      <c r="U5" s="19">
        <v>8.4000000000000005E-2</v>
      </c>
      <c r="V5" s="5" t="s">
        <v>974</v>
      </c>
      <c r="W5" s="5">
        <v>8</v>
      </c>
      <c r="X5" s="5" t="b">
        <f>TRUE()</f>
        <v>1</v>
      </c>
      <c r="Y5" s="19">
        <v>0.25</v>
      </c>
    </row>
    <row r="6" spans="1:25" ht="15" customHeight="1" x14ac:dyDescent="0.3">
      <c r="A6" s="5" t="s">
        <v>975</v>
      </c>
      <c r="B6" s="5" t="s">
        <v>408</v>
      </c>
      <c r="C6" s="5" t="s">
        <v>422</v>
      </c>
      <c r="D6" s="5" t="s">
        <v>432</v>
      </c>
      <c r="E6" s="5" t="s">
        <v>976</v>
      </c>
      <c r="F6" s="18">
        <v>3.2</v>
      </c>
      <c r="G6" s="18">
        <v>2.34</v>
      </c>
      <c r="H6" s="19">
        <v>0.27</v>
      </c>
      <c r="I6" s="18">
        <v>23400</v>
      </c>
      <c r="J6" s="5" t="s">
        <v>412</v>
      </c>
      <c r="K6" s="5">
        <v>93</v>
      </c>
      <c r="L6" s="5">
        <v>2</v>
      </c>
      <c r="M6" s="5"/>
      <c r="N6" s="5"/>
      <c r="O6" s="5" t="s">
        <v>977</v>
      </c>
      <c r="P6" s="5" t="s">
        <v>978</v>
      </c>
      <c r="Q6" s="18">
        <v>1901047</v>
      </c>
      <c r="R6" s="5" t="s">
        <v>979</v>
      </c>
      <c r="S6" s="5" t="s">
        <v>967</v>
      </c>
      <c r="T6" s="19">
        <v>0.104</v>
      </c>
      <c r="U6" s="19">
        <v>9.4E-2</v>
      </c>
      <c r="V6" s="5" t="s">
        <v>980</v>
      </c>
      <c r="W6" s="5">
        <v>10</v>
      </c>
      <c r="X6" s="5" t="b">
        <f>FALSE()</f>
        <v>0</v>
      </c>
      <c r="Y6" s="19">
        <v>0.1</v>
      </c>
    </row>
    <row r="7" spans="1:25" ht="15" customHeight="1" x14ac:dyDescent="0.3">
      <c r="A7" s="5" t="s">
        <v>981</v>
      </c>
      <c r="B7" s="5" t="s">
        <v>443</v>
      </c>
      <c r="C7" s="5" t="s">
        <v>451</v>
      </c>
      <c r="D7" s="5" t="s">
        <v>423</v>
      </c>
      <c r="E7" s="5" t="s">
        <v>963</v>
      </c>
      <c r="F7" s="18">
        <v>15.2</v>
      </c>
      <c r="G7" s="18">
        <v>11.51</v>
      </c>
      <c r="H7" s="19">
        <v>0.24299999999999999</v>
      </c>
      <c r="I7" s="18">
        <v>11510</v>
      </c>
      <c r="J7" s="5" t="s">
        <v>444</v>
      </c>
      <c r="K7" s="5">
        <v>12</v>
      </c>
      <c r="L7" s="5">
        <v>2</v>
      </c>
      <c r="M7" s="5"/>
      <c r="N7" s="5"/>
      <c r="O7" s="5" t="s">
        <v>729</v>
      </c>
      <c r="P7" s="5" t="s">
        <v>982</v>
      </c>
      <c r="Q7" s="18">
        <v>443743</v>
      </c>
      <c r="R7" s="5" t="s">
        <v>983</v>
      </c>
      <c r="S7" s="5" t="s">
        <v>984</v>
      </c>
      <c r="T7" s="19">
        <v>0.125</v>
      </c>
      <c r="U7" s="19">
        <v>9.2999999999999999E-2</v>
      </c>
      <c r="V7" s="5" t="s">
        <v>985</v>
      </c>
      <c r="W7" s="5">
        <v>11</v>
      </c>
      <c r="X7" s="5" t="b">
        <f>FALSE()</f>
        <v>0</v>
      </c>
      <c r="Y7" s="19">
        <v>0.15</v>
      </c>
    </row>
    <row r="8" spans="1:25" ht="15" customHeight="1" x14ac:dyDescent="0.3">
      <c r="A8" s="5" t="s">
        <v>986</v>
      </c>
      <c r="B8" s="5" t="s">
        <v>454</v>
      </c>
      <c r="C8" s="5" t="s">
        <v>492</v>
      </c>
      <c r="D8" s="5" t="s">
        <v>410</v>
      </c>
      <c r="E8" s="5" t="s">
        <v>976</v>
      </c>
      <c r="F8" s="18">
        <v>28</v>
      </c>
      <c r="G8" s="18">
        <v>21.9</v>
      </c>
      <c r="H8" s="19">
        <v>0.218</v>
      </c>
      <c r="I8" s="18">
        <v>10950</v>
      </c>
      <c r="J8" s="5" t="s">
        <v>444</v>
      </c>
      <c r="K8" s="5">
        <v>18</v>
      </c>
      <c r="L8" s="5">
        <v>2</v>
      </c>
      <c r="M8" s="5"/>
      <c r="N8" s="5"/>
      <c r="O8" s="5" t="s">
        <v>987</v>
      </c>
      <c r="P8" s="5" t="s">
        <v>982</v>
      </c>
      <c r="Q8" s="18">
        <v>1126506</v>
      </c>
      <c r="R8" s="5" t="s">
        <v>988</v>
      </c>
      <c r="S8" s="5" t="s">
        <v>967</v>
      </c>
      <c r="T8" s="19">
        <v>0.27800000000000002</v>
      </c>
      <c r="U8" s="19">
        <v>0.24399999999999999</v>
      </c>
      <c r="V8" s="5" t="s">
        <v>968</v>
      </c>
      <c r="W8" s="5">
        <v>9</v>
      </c>
      <c r="X8" s="5" t="b">
        <f>TRUE()</f>
        <v>1</v>
      </c>
      <c r="Y8" s="19">
        <v>0.25</v>
      </c>
    </row>
    <row r="9" spans="1:25" ht="15" customHeight="1" x14ac:dyDescent="0.3">
      <c r="A9" s="5" t="s">
        <v>989</v>
      </c>
      <c r="B9" s="5" t="s">
        <v>479</v>
      </c>
      <c r="C9" s="5" t="s">
        <v>550</v>
      </c>
      <c r="D9" s="5" t="s">
        <v>475</v>
      </c>
      <c r="E9" s="5" t="s">
        <v>963</v>
      </c>
      <c r="F9" s="18">
        <v>35</v>
      </c>
      <c r="G9" s="18">
        <v>34.86</v>
      </c>
      <c r="H9" s="19">
        <v>4.0000000000000001E-3</v>
      </c>
      <c r="I9" s="18">
        <v>348600</v>
      </c>
      <c r="J9" s="5" t="s">
        <v>444</v>
      </c>
      <c r="K9" s="5">
        <v>82</v>
      </c>
      <c r="L9" s="5">
        <v>2</v>
      </c>
      <c r="M9" s="5"/>
      <c r="N9" s="5"/>
      <c r="O9" s="5" t="s">
        <v>990</v>
      </c>
      <c r="P9" s="5" t="s">
        <v>978</v>
      </c>
      <c r="Q9" s="18">
        <v>858163</v>
      </c>
      <c r="R9" s="5" t="s">
        <v>991</v>
      </c>
      <c r="S9" s="5" t="s">
        <v>984</v>
      </c>
      <c r="T9" s="19">
        <v>0.125</v>
      </c>
      <c r="U9" s="19">
        <v>0.121</v>
      </c>
      <c r="V9" s="5" t="s">
        <v>985</v>
      </c>
      <c r="W9" s="5">
        <v>9</v>
      </c>
      <c r="X9" s="5" t="b">
        <f>FALSE()</f>
        <v>0</v>
      </c>
      <c r="Y9" s="19">
        <v>0.1</v>
      </c>
    </row>
    <row r="10" spans="1:25" ht="15" customHeight="1" x14ac:dyDescent="0.3">
      <c r="A10" s="5" t="s">
        <v>992</v>
      </c>
      <c r="B10" s="5" t="s">
        <v>454</v>
      </c>
      <c r="C10" s="5" t="s">
        <v>492</v>
      </c>
      <c r="D10" s="5" t="s">
        <v>455</v>
      </c>
      <c r="E10" s="5" t="s">
        <v>962</v>
      </c>
      <c r="F10" s="18">
        <v>28</v>
      </c>
      <c r="G10" s="18">
        <v>19.91</v>
      </c>
      <c r="H10" s="19">
        <v>0.28899999999999998</v>
      </c>
      <c r="I10" s="18">
        <v>9955</v>
      </c>
      <c r="J10" s="5" t="s">
        <v>444</v>
      </c>
      <c r="K10" s="5">
        <v>20</v>
      </c>
      <c r="L10" s="5">
        <v>2</v>
      </c>
      <c r="M10" s="5" t="s">
        <v>993</v>
      </c>
      <c r="N10" s="5" t="s">
        <v>994</v>
      </c>
      <c r="O10" s="5" t="s">
        <v>429</v>
      </c>
      <c r="P10" s="5" t="s">
        <v>982</v>
      </c>
      <c r="Q10" s="18">
        <v>565066</v>
      </c>
      <c r="R10" s="5" t="s">
        <v>995</v>
      </c>
      <c r="S10" s="5" t="s">
        <v>967</v>
      </c>
      <c r="T10" s="19">
        <v>0.16500000000000001</v>
      </c>
      <c r="U10" s="19">
        <v>0.108</v>
      </c>
      <c r="V10" s="5" t="s">
        <v>968</v>
      </c>
      <c r="W10" s="5">
        <v>4</v>
      </c>
      <c r="X10" s="5" t="b">
        <f>TRUE()</f>
        <v>1</v>
      </c>
      <c r="Y10" s="19">
        <v>0.15</v>
      </c>
    </row>
    <row r="11" spans="1:25" ht="15" customHeight="1" x14ac:dyDescent="0.3">
      <c r="A11" s="5" t="s">
        <v>996</v>
      </c>
      <c r="B11" s="5" t="s">
        <v>443</v>
      </c>
      <c r="C11" s="5" t="s">
        <v>492</v>
      </c>
      <c r="D11" s="5" t="s">
        <v>455</v>
      </c>
      <c r="E11" s="5" t="s">
        <v>976</v>
      </c>
      <c r="F11" s="18">
        <v>28</v>
      </c>
      <c r="G11" s="18">
        <v>26.54</v>
      </c>
      <c r="H11" s="19">
        <v>5.1999999999999998E-2</v>
      </c>
      <c r="I11" s="18">
        <v>132700</v>
      </c>
      <c r="J11" s="5" t="s">
        <v>444</v>
      </c>
      <c r="K11" s="5">
        <v>25</v>
      </c>
      <c r="L11" s="5">
        <v>2</v>
      </c>
      <c r="M11" s="5"/>
      <c r="N11" s="5"/>
      <c r="O11" s="5" t="s">
        <v>997</v>
      </c>
      <c r="P11" s="5" t="s">
        <v>982</v>
      </c>
      <c r="Q11" s="18">
        <v>125626</v>
      </c>
      <c r="R11" s="5" t="s">
        <v>998</v>
      </c>
      <c r="S11" s="5" t="s">
        <v>967</v>
      </c>
      <c r="T11" s="19">
        <v>0.255</v>
      </c>
      <c r="U11" s="19">
        <v>0.24099999999999999</v>
      </c>
      <c r="V11" s="5" t="s">
        <v>974</v>
      </c>
      <c r="W11" s="5">
        <v>3</v>
      </c>
      <c r="X11" s="5" t="b">
        <f>FALSE()</f>
        <v>0</v>
      </c>
      <c r="Y11" s="19">
        <v>0.15</v>
      </c>
    </row>
    <row r="12" spans="1:25" ht="15" customHeight="1" x14ac:dyDescent="0.3">
      <c r="A12" s="5" t="s">
        <v>999</v>
      </c>
      <c r="B12" s="5" t="s">
        <v>575</v>
      </c>
      <c r="C12" s="5" t="s">
        <v>440</v>
      </c>
      <c r="D12" s="5" t="s">
        <v>432</v>
      </c>
      <c r="E12" s="5" t="s">
        <v>962</v>
      </c>
      <c r="F12" s="18">
        <v>0.45</v>
      </c>
      <c r="G12" s="18">
        <v>0.33</v>
      </c>
      <c r="H12" s="19">
        <v>0.27600000000000002</v>
      </c>
      <c r="I12" s="18">
        <v>825</v>
      </c>
      <c r="J12" s="5" t="s">
        <v>412</v>
      </c>
      <c r="K12" s="5">
        <v>9</v>
      </c>
      <c r="L12" s="5">
        <v>1</v>
      </c>
      <c r="M12" s="5" t="s">
        <v>1000</v>
      </c>
      <c r="N12" s="5" t="s">
        <v>970</v>
      </c>
      <c r="O12" s="5" t="s">
        <v>642</v>
      </c>
      <c r="P12" s="5" t="s">
        <v>978</v>
      </c>
      <c r="Q12" s="18">
        <v>1946368</v>
      </c>
      <c r="R12" s="5" t="s">
        <v>1001</v>
      </c>
      <c r="S12" s="5" t="s">
        <v>967</v>
      </c>
      <c r="T12" s="19">
        <v>0.21199999999999999</v>
      </c>
      <c r="U12" s="19">
        <v>0.17799999999999999</v>
      </c>
      <c r="V12" s="5" t="s">
        <v>980</v>
      </c>
      <c r="W12" s="5">
        <v>12</v>
      </c>
      <c r="X12" s="5" t="b">
        <f>TRUE()</f>
        <v>1</v>
      </c>
      <c r="Y12" s="19">
        <v>0.25</v>
      </c>
    </row>
    <row r="13" spans="1:25" ht="15" customHeight="1" x14ac:dyDescent="0.3">
      <c r="A13" s="5" t="s">
        <v>1002</v>
      </c>
      <c r="B13" s="5" t="s">
        <v>531</v>
      </c>
      <c r="C13" s="5" t="s">
        <v>451</v>
      </c>
      <c r="D13" s="5" t="s">
        <v>410</v>
      </c>
      <c r="E13" s="5" t="s">
        <v>963</v>
      </c>
      <c r="F13" s="18">
        <v>15.2</v>
      </c>
      <c r="G13" s="18">
        <v>13.18</v>
      </c>
      <c r="H13" s="19">
        <v>0.13300000000000001</v>
      </c>
      <c r="I13" s="18">
        <v>32950</v>
      </c>
      <c r="J13" s="5" t="s">
        <v>434</v>
      </c>
      <c r="K13" s="5">
        <v>41</v>
      </c>
      <c r="L13" s="5">
        <v>3</v>
      </c>
      <c r="M13" s="5"/>
      <c r="N13" s="5"/>
      <c r="O13" s="5" t="s">
        <v>1003</v>
      </c>
      <c r="P13" s="5" t="s">
        <v>978</v>
      </c>
      <c r="Q13" s="18">
        <v>416475</v>
      </c>
      <c r="R13" s="5" t="s">
        <v>1004</v>
      </c>
      <c r="S13" s="5" t="s">
        <v>984</v>
      </c>
      <c r="T13" s="19">
        <v>0.33200000000000002</v>
      </c>
      <c r="U13" s="19">
        <v>0.29799999999999999</v>
      </c>
      <c r="V13" s="5" t="s">
        <v>985</v>
      </c>
      <c r="W13" s="5">
        <v>1</v>
      </c>
      <c r="X13" s="5" t="b">
        <f>FALSE()</f>
        <v>0</v>
      </c>
      <c r="Y13" s="19">
        <v>0.2</v>
      </c>
    </row>
    <row r="14" spans="1:25" ht="15" customHeight="1" x14ac:dyDescent="0.3">
      <c r="A14" s="5" t="s">
        <v>1005</v>
      </c>
      <c r="B14" s="5" t="s">
        <v>531</v>
      </c>
      <c r="C14" s="5" t="s">
        <v>422</v>
      </c>
      <c r="D14" s="5" t="s">
        <v>475</v>
      </c>
      <c r="E14" s="5" t="s">
        <v>962</v>
      </c>
      <c r="F14" s="18">
        <v>3.2</v>
      </c>
      <c r="G14" s="18">
        <v>2.37</v>
      </c>
      <c r="H14" s="19">
        <v>0.26</v>
      </c>
      <c r="I14" s="18">
        <v>1185</v>
      </c>
      <c r="J14" s="5" t="s">
        <v>434</v>
      </c>
      <c r="K14" s="5">
        <v>72</v>
      </c>
      <c r="L14" s="5">
        <v>1</v>
      </c>
      <c r="M14" s="5" t="s">
        <v>993</v>
      </c>
      <c r="N14" s="5" t="s">
        <v>994</v>
      </c>
      <c r="O14" s="5" t="s">
        <v>1006</v>
      </c>
      <c r="P14" s="5" t="s">
        <v>972</v>
      </c>
      <c r="Q14" s="18">
        <v>1572007</v>
      </c>
      <c r="R14" s="5" t="s">
        <v>1007</v>
      </c>
      <c r="S14" s="5" t="s">
        <v>967</v>
      </c>
      <c r="T14" s="19">
        <v>0.19700000000000001</v>
      </c>
      <c r="U14" s="19">
        <v>0.16600000000000001</v>
      </c>
      <c r="V14" s="5" t="s">
        <v>968</v>
      </c>
      <c r="W14" s="5">
        <v>13</v>
      </c>
      <c r="X14" s="5" t="b">
        <f>FALSE()</f>
        <v>0</v>
      </c>
      <c r="Y14" s="19">
        <v>0.2</v>
      </c>
    </row>
    <row r="15" spans="1:25" ht="15" customHeight="1" x14ac:dyDescent="0.3">
      <c r="A15" s="5" t="s">
        <v>1008</v>
      </c>
      <c r="B15" s="5" t="s">
        <v>421</v>
      </c>
      <c r="C15" s="5" t="s">
        <v>492</v>
      </c>
      <c r="D15" s="5" t="s">
        <v>432</v>
      </c>
      <c r="E15" s="5" t="s">
        <v>976</v>
      </c>
      <c r="F15" s="18">
        <v>28</v>
      </c>
      <c r="G15" s="18">
        <v>20.64</v>
      </c>
      <c r="H15" s="19">
        <v>0.26300000000000001</v>
      </c>
      <c r="I15" s="18">
        <v>20640</v>
      </c>
      <c r="J15" s="5" t="s">
        <v>412</v>
      </c>
      <c r="K15" s="5">
        <v>114</v>
      </c>
      <c r="L15" s="5">
        <v>0</v>
      </c>
      <c r="M15" s="5"/>
      <c r="N15" s="5"/>
      <c r="O15" s="5" t="s">
        <v>1009</v>
      </c>
      <c r="P15" s="5" t="s">
        <v>978</v>
      </c>
      <c r="Q15" s="18">
        <v>940075</v>
      </c>
      <c r="R15" s="5" t="s">
        <v>1010</v>
      </c>
      <c r="S15" s="5" t="s">
        <v>967</v>
      </c>
      <c r="T15" s="19">
        <v>0.17599999999999999</v>
      </c>
      <c r="U15" s="19">
        <v>0.13400000000000001</v>
      </c>
      <c r="V15" s="5" t="s">
        <v>974</v>
      </c>
      <c r="W15" s="5">
        <v>12</v>
      </c>
      <c r="X15" s="5" t="b">
        <f>FALSE()</f>
        <v>0</v>
      </c>
      <c r="Y15" s="19">
        <v>0.2</v>
      </c>
    </row>
    <row r="16" spans="1:25" ht="15" customHeight="1" x14ac:dyDescent="0.3">
      <c r="A16" s="5" t="s">
        <v>1011</v>
      </c>
      <c r="B16" s="5" t="s">
        <v>575</v>
      </c>
      <c r="C16" s="5" t="s">
        <v>440</v>
      </c>
      <c r="D16" s="5" t="s">
        <v>410</v>
      </c>
      <c r="E16" s="5" t="s">
        <v>976</v>
      </c>
      <c r="F16" s="18">
        <v>0.45</v>
      </c>
      <c r="G16" s="18">
        <v>0.39</v>
      </c>
      <c r="H16" s="19">
        <v>0.13900000000000001</v>
      </c>
      <c r="I16" s="18">
        <v>1950</v>
      </c>
      <c r="J16" s="5" t="s">
        <v>412</v>
      </c>
      <c r="K16" s="5">
        <v>88</v>
      </c>
      <c r="L16" s="5">
        <v>0</v>
      </c>
      <c r="M16" s="5"/>
      <c r="N16" s="5"/>
      <c r="O16" s="5" t="s">
        <v>1012</v>
      </c>
      <c r="P16" s="5" t="s">
        <v>978</v>
      </c>
      <c r="Q16" s="18">
        <v>521779</v>
      </c>
      <c r="R16" s="5" t="s">
        <v>1013</v>
      </c>
      <c r="S16" s="5" t="s">
        <v>967</v>
      </c>
      <c r="T16" s="19">
        <v>0.23400000000000001</v>
      </c>
      <c r="U16" s="19">
        <v>0.14899999999999999</v>
      </c>
      <c r="V16" s="5" t="s">
        <v>974</v>
      </c>
      <c r="W16" s="5">
        <v>6</v>
      </c>
      <c r="X16" s="5" t="b">
        <f>FALSE()</f>
        <v>0</v>
      </c>
      <c r="Y16" s="19">
        <v>0.1</v>
      </c>
    </row>
    <row r="17" spans="1:25" ht="15" customHeight="1" x14ac:dyDescent="0.3">
      <c r="A17" s="5" t="s">
        <v>1014</v>
      </c>
      <c r="B17" s="5" t="s">
        <v>443</v>
      </c>
      <c r="C17" s="5" t="s">
        <v>492</v>
      </c>
      <c r="D17" s="5" t="s">
        <v>475</v>
      </c>
      <c r="E17" s="5" t="s">
        <v>976</v>
      </c>
      <c r="F17" s="18">
        <v>28</v>
      </c>
      <c r="G17" s="18">
        <v>20.69</v>
      </c>
      <c r="H17" s="19">
        <v>0.26100000000000001</v>
      </c>
      <c r="I17" s="18">
        <v>206900</v>
      </c>
      <c r="J17" s="5" t="s">
        <v>444</v>
      </c>
      <c r="K17" s="5">
        <v>77</v>
      </c>
      <c r="L17" s="5">
        <v>1</v>
      </c>
      <c r="M17" s="5"/>
      <c r="N17" s="5"/>
      <c r="O17" s="5" t="s">
        <v>429</v>
      </c>
      <c r="P17" s="5" t="s">
        <v>972</v>
      </c>
      <c r="Q17" s="18">
        <v>1683425</v>
      </c>
      <c r="R17" s="5" t="s">
        <v>1015</v>
      </c>
      <c r="S17" s="5" t="s">
        <v>967</v>
      </c>
      <c r="T17" s="19">
        <v>0.115</v>
      </c>
      <c r="U17" s="19">
        <v>7.5999999999999998E-2</v>
      </c>
      <c r="V17" s="5" t="s">
        <v>968</v>
      </c>
      <c r="W17" s="5">
        <v>6</v>
      </c>
      <c r="X17" s="5" t="b">
        <f>FALSE()</f>
        <v>0</v>
      </c>
      <c r="Y17" s="19">
        <v>0.25</v>
      </c>
    </row>
    <row r="18" spans="1:25" ht="15" customHeight="1" x14ac:dyDescent="0.3">
      <c r="A18" s="5" t="s">
        <v>1016</v>
      </c>
      <c r="B18" s="5" t="s">
        <v>479</v>
      </c>
      <c r="C18" s="5" t="s">
        <v>521</v>
      </c>
      <c r="D18" s="5" t="s">
        <v>410</v>
      </c>
      <c r="E18" s="5" t="s">
        <v>976</v>
      </c>
      <c r="F18" s="18">
        <v>12.75</v>
      </c>
      <c r="G18" s="18">
        <v>12.56</v>
      </c>
      <c r="H18" s="19">
        <v>1.4999999999999999E-2</v>
      </c>
      <c r="I18" s="18">
        <v>125600</v>
      </c>
      <c r="J18" s="5" t="s">
        <v>444</v>
      </c>
      <c r="K18" s="5">
        <v>106</v>
      </c>
      <c r="L18" s="5">
        <v>1</v>
      </c>
      <c r="M18" s="5"/>
      <c r="N18" s="5"/>
      <c r="O18" s="5" t="s">
        <v>1017</v>
      </c>
      <c r="P18" s="5" t="s">
        <v>972</v>
      </c>
      <c r="Q18" s="18">
        <v>1371506</v>
      </c>
      <c r="R18" s="5" t="s">
        <v>1018</v>
      </c>
      <c r="S18" s="5" t="s">
        <v>967</v>
      </c>
      <c r="T18" s="19">
        <v>0.32100000000000001</v>
      </c>
      <c r="U18" s="19">
        <v>0.215</v>
      </c>
      <c r="V18" s="5" t="s">
        <v>980</v>
      </c>
      <c r="W18" s="5">
        <v>12</v>
      </c>
      <c r="X18" s="5" t="b">
        <f>TRUE()</f>
        <v>1</v>
      </c>
      <c r="Y18" s="19">
        <v>0.1</v>
      </c>
    </row>
    <row r="19" spans="1:25" ht="15" customHeight="1" x14ac:dyDescent="0.3">
      <c r="A19" s="5" t="s">
        <v>1019</v>
      </c>
      <c r="B19" s="5" t="s">
        <v>479</v>
      </c>
      <c r="C19" s="5" t="s">
        <v>422</v>
      </c>
      <c r="D19" s="5" t="s">
        <v>455</v>
      </c>
      <c r="E19" s="5" t="s">
        <v>976</v>
      </c>
      <c r="F19" s="18">
        <v>3.2</v>
      </c>
      <c r="G19" s="18">
        <v>2.4500000000000002</v>
      </c>
      <c r="H19" s="19">
        <v>0.23400000000000001</v>
      </c>
      <c r="I19" s="18">
        <v>1225</v>
      </c>
      <c r="J19" s="5" t="s">
        <v>444</v>
      </c>
      <c r="K19" s="5">
        <v>67</v>
      </c>
      <c r="L19" s="5">
        <v>1</v>
      </c>
      <c r="M19" s="5"/>
      <c r="N19" s="5"/>
      <c r="O19" s="5" t="s">
        <v>1020</v>
      </c>
      <c r="P19" s="5" t="s">
        <v>972</v>
      </c>
      <c r="Q19" s="18">
        <v>1222227</v>
      </c>
      <c r="R19" s="5" t="s">
        <v>1021</v>
      </c>
      <c r="S19" s="5" t="s">
        <v>967</v>
      </c>
      <c r="T19" s="19">
        <v>0.16200000000000001</v>
      </c>
      <c r="U19" s="19">
        <v>0.109</v>
      </c>
      <c r="V19" s="5" t="s">
        <v>968</v>
      </c>
      <c r="W19" s="5">
        <v>2</v>
      </c>
      <c r="X19" s="5" t="b">
        <f>FALSE()</f>
        <v>0</v>
      </c>
      <c r="Y19" s="19">
        <v>0.2</v>
      </c>
    </row>
    <row r="20" spans="1:25" ht="15" customHeight="1" x14ac:dyDescent="0.3">
      <c r="A20" s="5" t="s">
        <v>1022</v>
      </c>
      <c r="B20" s="5" t="s">
        <v>485</v>
      </c>
      <c r="C20" s="5" t="s">
        <v>440</v>
      </c>
      <c r="D20" s="5" t="s">
        <v>410</v>
      </c>
      <c r="E20" s="5" t="s">
        <v>962</v>
      </c>
      <c r="F20" s="18">
        <v>0.45</v>
      </c>
      <c r="G20" s="18">
        <v>0.32</v>
      </c>
      <c r="H20" s="19">
        <v>0.28299999999999997</v>
      </c>
      <c r="I20" s="18">
        <v>800</v>
      </c>
      <c r="J20" s="5" t="s">
        <v>444</v>
      </c>
      <c r="K20" s="5">
        <v>61</v>
      </c>
      <c r="L20" s="5">
        <v>2</v>
      </c>
      <c r="M20" s="5" t="s">
        <v>1000</v>
      </c>
      <c r="N20" s="5" t="s">
        <v>1023</v>
      </c>
      <c r="O20" s="5" t="s">
        <v>1024</v>
      </c>
      <c r="P20" s="5" t="s">
        <v>965</v>
      </c>
      <c r="Q20" s="18">
        <v>1370533</v>
      </c>
      <c r="R20" s="5" t="s">
        <v>1025</v>
      </c>
      <c r="S20" s="5" t="s">
        <v>967</v>
      </c>
      <c r="T20" s="19">
        <v>0.16600000000000001</v>
      </c>
      <c r="U20" s="19">
        <v>0.109</v>
      </c>
      <c r="V20" s="5" t="s">
        <v>985</v>
      </c>
      <c r="W20" s="5">
        <v>4</v>
      </c>
      <c r="X20" s="5" t="b">
        <f>TRUE()</f>
        <v>1</v>
      </c>
      <c r="Y20" s="19">
        <v>0.15</v>
      </c>
    </row>
    <row r="21" spans="1:25" ht="15" customHeight="1" x14ac:dyDescent="0.3">
      <c r="A21" s="5" t="s">
        <v>1026</v>
      </c>
      <c r="B21" s="5" t="s">
        <v>430</v>
      </c>
      <c r="C21" s="5" t="s">
        <v>422</v>
      </c>
      <c r="D21" s="5" t="s">
        <v>455</v>
      </c>
      <c r="E21" s="5" t="s">
        <v>976</v>
      </c>
      <c r="F21" s="18">
        <v>3.2</v>
      </c>
      <c r="G21" s="18">
        <v>2.71</v>
      </c>
      <c r="H21" s="19">
        <v>0.153</v>
      </c>
      <c r="I21" s="18">
        <v>6775</v>
      </c>
      <c r="J21" s="5" t="s">
        <v>434</v>
      </c>
      <c r="K21" s="5">
        <v>78</v>
      </c>
      <c r="L21" s="5">
        <v>3</v>
      </c>
      <c r="M21" s="5"/>
      <c r="N21" s="5"/>
      <c r="O21" s="5" t="s">
        <v>1027</v>
      </c>
      <c r="P21" s="5" t="s">
        <v>965</v>
      </c>
      <c r="Q21" s="18">
        <v>632028</v>
      </c>
      <c r="R21" s="5" t="s">
        <v>1028</v>
      </c>
      <c r="S21" s="5" t="s">
        <v>967</v>
      </c>
      <c r="T21" s="19">
        <v>0.255</v>
      </c>
      <c r="U21" s="19">
        <v>0.17399999999999999</v>
      </c>
      <c r="V21" s="5" t="s">
        <v>980</v>
      </c>
      <c r="W21" s="5">
        <v>7</v>
      </c>
      <c r="X21" s="5" t="b">
        <f>TRUE()</f>
        <v>1</v>
      </c>
      <c r="Y21" s="19">
        <v>0.15</v>
      </c>
    </row>
    <row r="22" spans="1:25" ht="15" customHeight="1" x14ac:dyDescent="0.3">
      <c r="A22" s="5" t="s">
        <v>1029</v>
      </c>
      <c r="B22" s="5" t="s">
        <v>408</v>
      </c>
      <c r="C22" s="5" t="s">
        <v>460</v>
      </c>
      <c r="D22" s="5" t="s">
        <v>432</v>
      </c>
      <c r="E22" s="5" t="s">
        <v>976</v>
      </c>
      <c r="F22" s="18">
        <v>22.5</v>
      </c>
      <c r="G22" s="18">
        <v>20.63</v>
      </c>
      <c r="H22" s="19">
        <v>8.3000000000000004E-2</v>
      </c>
      <c r="I22" s="18">
        <v>51575</v>
      </c>
      <c r="J22" s="5" t="s">
        <v>412</v>
      </c>
      <c r="K22" s="5">
        <v>117</v>
      </c>
      <c r="L22" s="5">
        <v>1</v>
      </c>
      <c r="M22" s="5"/>
      <c r="N22" s="5"/>
      <c r="O22" s="5" t="s">
        <v>1030</v>
      </c>
      <c r="P22" s="5" t="s">
        <v>965</v>
      </c>
      <c r="Q22" s="18">
        <v>417302</v>
      </c>
      <c r="R22" s="5" t="s">
        <v>1031</v>
      </c>
      <c r="S22" s="5" t="s">
        <v>967</v>
      </c>
      <c r="T22" s="19">
        <v>9.6000000000000002E-2</v>
      </c>
      <c r="U22" s="19">
        <v>7.9000000000000001E-2</v>
      </c>
      <c r="V22" s="5" t="s">
        <v>985</v>
      </c>
      <c r="W22" s="5">
        <v>5</v>
      </c>
      <c r="X22" s="5" t="b">
        <f>FALSE()</f>
        <v>0</v>
      </c>
      <c r="Y22" s="19">
        <v>0.1</v>
      </c>
    </row>
    <row r="23" spans="1:25" ht="15" customHeight="1" x14ac:dyDescent="0.3">
      <c r="A23" s="5" t="s">
        <v>1032</v>
      </c>
      <c r="B23" s="5" t="s">
        <v>421</v>
      </c>
      <c r="C23" s="5" t="s">
        <v>440</v>
      </c>
      <c r="D23" s="5" t="s">
        <v>432</v>
      </c>
      <c r="E23" s="5" t="s">
        <v>962</v>
      </c>
      <c r="F23" s="18">
        <v>0.45</v>
      </c>
      <c r="G23" s="18">
        <v>0.34</v>
      </c>
      <c r="H23" s="19">
        <v>0.24099999999999999</v>
      </c>
      <c r="I23" s="18">
        <v>3400</v>
      </c>
      <c r="J23" s="5" t="s">
        <v>412</v>
      </c>
      <c r="K23" s="5">
        <v>58</v>
      </c>
      <c r="L23" s="5">
        <v>3</v>
      </c>
      <c r="M23" s="5" t="s">
        <v>1000</v>
      </c>
      <c r="N23" s="5" t="s">
        <v>1033</v>
      </c>
      <c r="O23" s="5" t="s">
        <v>651</v>
      </c>
      <c r="P23" s="5" t="s">
        <v>982</v>
      </c>
      <c r="Q23" s="18">
        <v>1995065</v>
      </c>
      <c r="R23" s="5" t="s">
        <v>1034</v>
      </c>
      <c r="S23" s="5" t="s">
        <v>967</v>
      </c>
      <c r="T23" s="19">
        <v>0.248</v>
      </c>
      <c r="U23" s="19">
        <v>0.22500000000000001</v>
      </c>
      <c r="V23" s="5" t="s">
        <v>1035</v>
      </c>
      <c r="W23" s="5">
        <v>2</v>
      </c>
      <c r="X23" s="5" t="b">
        <f>FALSE()</f>
        <v>0</v>
      </c>
      <c r="Y23" s="19">
        <v>0.2</v>
      </c>
    </row>
    <row r="24" spans="1:25" ht="15" customHeight="1" x14ac:dyDescent="0.3">
      <c r="A24" s="5" t="s">
        <v>1036</v>
      </c>
      <c r="B24" s="5" t="s">
        <v>479</v>
      </c>
      <c r="C24" s="5" t="s">
        <v>422</v>
      </c>
      <c r="D24" s="5" t="s">
        <v>475</v>
      </c>
      <c r="E24" s="5" t="s">
        <v>976</v>
      </c>
      <c r="F24" s="18">
        <v>3.2</v>
      </c>
      <c r="G24" s="18">
        <v>3.16</v>
      </c>
      <c r="H24" s="19">
        <v>1.0999999999999999E-2</v>
      </c>
      <c r="I24" s="18">
        <v>31600</v>
      </c>
      <c r="J24" s="5" t="s">
        <v>444</v>
      </c>
      <c r="K24" s="5">
        <v>111</v>
      </c>
      <c r="L24" s="5">
        <v>1</v>
      </c>
      <c r="M24" s="5"/>
      <c r="N24" s="5"/>
      <c r="O24" s="5" t="s">
        <v>1037</v>
      </c>
      <c r="P24" s="5" t="s">
        <v>972</v>
      </c>
      <c r="Q24" s="18">
        <v>1388320</v>
      </c>
      <c r="R24" s="5" t="s">
        <v>1038</v>
      </c>
      <c r="S24" s="5" t="s">
        <v>967</v>
      </c>
      <c r="T24" s="19">
        <v>0.30499999999999999</v>
      </c>
      <c r="U24" s="19">
        <v>0.28000000000000003</v>
      </c>
      <c r="V24" s="5" t="s">
        <v>985</v>
      </c>
      <c r="W24" s="5">
        <v>14</v>
      </c>
      <c r="X24" s="5" t="b">
        <f>FALSE()</f>
        <v>0</v>
      </c>
      <c r="Y24" s="19">
        <v>0.2</v>
      </c>
    </row>
    <row r="25" spans="1:25" ht="15" customHeight="1" x14ac:dyDescent="0.3">
      <c r="A25" s="5" t="s">
        <v>1039</v>
      </c>
      <c r="B25" s="5" t="s">
        <v>443</v>
      </c>
      <c r="C25" s="5" t="s">
        <v>507</v>
      </c>
      <c r="D25" s="5" t="s">
        <v>455</v>
      </c>
      <c r="E25" s="5" t="s">
        <v>976</v>
      </c>
      <c r="F25" s="18">
        <v>8.9</v>
      </c>
      <c r="G25" s="18">
        <v>8.4499999999999993</v>
      </c>
      <c r="H25" s="19">
        <v>5.0999999999999997E-2</v>
      </c>
      <c r="I25" s="18">
        <v>84500</v>
      </c>
      <c r="J25" s="5" t="s">
        <v>444</v>
      </c>
      <c r="K25" s="5">
        <v>30</v>
      </c>
      <c r="L25" s="5">
        <v>1</v>
      </c>
      <c r="M25" s="5"/>
      <c r="N25" s="5"/>
      <c r="O25" s="5" t="s">
        <v>1040</v>
      </c>
      <c r="P25" s="5" t="s">
        <v>982</v>
      </c>
      <c r="Q25" s="18">
        <v>299491</v>
      </c>
      <c r="R25" s="5" t="s">
        <v>1041</v>
      </c>
      <c r="S25" s="5" t="s">
        <v>967</v>
      </c>
      <c r="T25" s="19">
        <v>0.152</v>
      </c>
      <c r="U25" s="19">
        <v>0.14299999999999999</v>
      </c>
      <c r="V25" s="5" t="s">
        <v>985</v>
      </c>
      <c r="W25" s="5">
        <v>2</v>
      </c>
      <c r="X25" s="5" t="b">
        <f>FALSE()</f>
        <v>0</v>
      </c>
      <c r="Y25" s="19">
        <v>0.2</v>
      </c>
    </row>
    <row r="26" spans="1:25" ht="15" customHeight="1" x14ac:dyDescent="0.3">
      <c r="A26" s="5" t="s">
        <v>1042</v>
      </c>
      <c r="B26" s="5" t="s">
        <v>479</v>
      </c>
      <c r="C26" s="5" t="s">
        <v>550</v>
      </c>
      <c r="D26" s="5" t="s">
        <v>423</v>
      </c>
      <c r="E26" s="5" t="s">
        <v>963</v>
      </c>
      <c r="F26" s="18">
        <v>35</v>
      </c>
      <c r="G26" s="18">
        <v>25.55</v>
      </c>
      <c r="H26" s="19">
        <v>0.27</v>
      </c>
      <c r="I26" s="18">
        <v>12775</v>
      </c>
      <c r="J26" s="5" t="s">
        <v>444</v>
      </c>
      <c r="K26" s="5">
        <v>35</v>
      </c>
      <c r="L26" s="5">
        <v>1</v>
      </c>
      <c r="M26" s="5"/>
      <c r="N26" s="5"/>
      <c r="O26" s="5" t="s">
        <v>1043</v>
      </c>
      <c r="P26" s="5" t="s">
        <v>965</v>
      </c>
      <c r="Q26" s="18">
        <v>869922</v>
      </c>
      <c r="R26" s="5" t="s">
        <v>1044</v>
      </c>
      <c r="S26" s="5" t="s">
        <v>984</v>
      </c>
      <c r="T26" s="19">
        <v>0.33400000000000002</v>
      </c>
      <c r="U26" s="19">
        <v>0.216</v>
      </c>
      <c r="V26" s="5" t="s">
        <v>980</v>
      </c>
      <c r="W26" s="5">
        <v>14</v>
      </c>
      <c r="X26" s="5" t="b">
        <f>FALSE()</f>
        <v>0</v>
      </c>
      <c r="Y26" s="19">
        <v>0.1</v>
      </c>
    </row>
    <row r="27" spans="1:25" ht="15" customHeight="1" x14ac:dyDescent="0.3">
      <c r="A27" s="5" t="s">
        <v>1045</v>
      </c>
      <c r="B27" s="5" t="s">
        <v>575</v>
      </c>
      <c r="C27" s="5" t="s">
        <v>507</v>
      </c>
      <c r="D27" s="5" t="s">
        <v>410</v>
      </c>
      <c r="E27" s="5" t="s">
        <v>962</v>
      </c>
      <c r="F27" s="18">
        <v>8.9</v>
      </c>
      <c r="G27" s="18">
        <v>7.66</v>
      </c>
      <c r="H27" s="19">
        <v>0.13900000000000001</v>
      </c>
      <c r="I27" s="18">
        <v>3830</v>
      </c>
      <c r="J27" s="5" t="s">
        <v>412</v>
      </c>
      <c r="K27" s="5">
        <v>67</v>
      </c>
      <c r="L27" s="5">
        <v>0</v>
      </c>
      <c r="M27" s="5" t="s">
        <v>963</v>
      </c>
      <c r="N27" s="5" t="s">
        <v>994</v>
      </c>
      <c r="O27" s="5" t="s">
        <v>471</v>
      </c>
      <c r="P27" s="5" t="s">
        <v>982</v>
      </c>
      <c r="Q27" s="18">
        <v>1784381</v>
      </c>
      <c r="R27" s="5" t="s">
        <v>1046</v>
      </c>
      <c r="S27" s="5" t="s">
        <v>967</v>
      </c>
      <c r="T27" s="19">
        <v>0.20899999999999999</v>
      </c>
      <c r="U27" s="19">
        <v>0.19400000000000001</v>
      </c>
      <c r="V27" s="5" t="s">
        <v>980</v>
      </c>
      <c r="W27" s="5">
        <v>7</v>
      </c>
      <c r="X27" s="5" t="b">
        <f>TRUE()</f>
        <v>1</v>
      </c>
      <c r="Y27" s="19">
        <v>0.25</v>
      </c>
    </row>
    <row r="28" spans="1:25" ht="15" customHeight="1" x14ac:dyDescent="0.3">
      <c r="A28" s="5" t="s">
        <v>1047</v>
      </c>
      <c r="B28" s="5" t="s">
        <v>421</v>
      </c>
      <c r="C28" s="5" t="s">
        <v>521</v>
      </c>
      <c r="D28" s="5" t="s">
        <v>475</v>
      </c>
      <c r="E28" s="5" t="s">
        <v>976</v>
      </c>
      <c r="F28" s="18">
        <v>12.75</v>
      </c>
      <c r="G28" s="18">
        <v>11.17</v>
      </c>
      <c r="H28" s="19">
        <v>0.124</v>
      </c>
      <c r="I28" s="18">
        <v>11170</v>
      </c>
      <c r="J28" s="5" t="s">
        <v>412</v>
      </c>
      <c r="K28" s="5">
        <v>24</v>
      </c>
      <c r="L28" s="5">
        <v>1</v>
      </c>
      <c r="M28" s="5"/>
      <c r="N28" s="5"/>
      <c r="O28" s="5" t="s">
        <v>1048</v>
      </c>
      <c r="P28" s="5" t="s">
        <v>982</v>
      </c>
      <c r="Q28" s="18">
        <v>1975024</v>
      </c>
      <c r="R28" s="5" t="s">
        <v>1049</v>
      </c>
      <c r="S28" s="5" t="s">
        <v>967</v>
      </c>
      <c r="T28" s="19">
        <v>0.28199999999999997</v>
      </c>
      <c r="U28" s="19">
        <v>0.19</v>
      </c>
      <c r="V28" s="5" t="s">
        <v>985</v>
      </c>
      <c r="W28" s="5">
        <v>13</v>
      </c>
      <c r="X28" s="5" t="b">
        <f>FALSE()</f>
        <v>0</v>
      </c>
      <c r="Y28" s="19">
        <v>0.25</v>
      </c>
    </row>
    <row r="29" spans="1:25" ht="15" customHeight="1" x14ac:dyDescent="0.3">
      <c r="A29" s="5" t="s">
        <v>1050</v>
      </c>
      <c r="B29" s="5" t="s">
        <v>443</v>
      </c>
      <c r="C29" s="5" t="s">
        <v>451</v>
      </c>
      <c r="D29" s="5" t="s">
        <v>410</v>
      </c>
      <c r="E29" s="5" t="s">
        <v>963</v>
      </c>
      <c r="F29" s="18">
        <v>15.2</v>
      </c>
      <c r="G29" s="18">
        <v>14.38</v>
      </c>
      <c r="H29" s="19">
        <v>5.3999999999999999E-2</v>
      </c>
      <c r="I29" s="18">
        <v>7190</v>
      </c>
      <c r="J29" s="5" t="s">
        <v>444</v>
      </c>
      <c r="K29" s="5">
        <v>69</v>
      </c>
      <c r="L29" s="5">
        <v>1</v>
      </c>
      <c r="M29" s="5"/>
      <c r="N29" s="5"/>
      <c r="O29" s="5" t="s">
        <v>627</v>
      </c>
      <c r="P29" s="5" t="s">
        <v>972</v>
      </c>
      <c r="Q29" s="18">
        <v>661157</v>
      </c>
      <c r="R29" s="5" t="s">
        <v>1051</v>
      </c>
      <c r="S29" s="5" t="s">
        <v>984</v>
      </c>
      <c r="T29" s="19">
        <v>0.191</v>
      </c>
      <c r="U29" s="19">
        <v>0.12</v>
      </c>
      <c r="V29" s="5" t="s">
        <v>968</v>
      </c>
      <c r="W29" s="5">
        <v>13</v>
      </c>
      <c r="X29" s="5" t="b">
        <f>FALSE()</f>
        <v>0</v>
      </c>
      <c r="Y29" s="19">
        <v>0.1</v>
      </c>
    </row>
    <row r="30" spans="1:25" ht="15" customHeight="1" x14ac:dyDescent="0.3">
      <c r="A30" s="5" t="s">
        <v>1052</v>
      </c>
      <c r="B30" s="5" t="s">
        <v>485</v>
      </c>
      <c r="C30" s="5" t="s">
        <v>409</v>
      </c>
      <c r="D30" s="5" t="s">
        <v>475</v>
      </c>
      <c r="E30" s="5" t="s">
        <v>976</v>
      </c>
      <c r="F30" s="18">
        <v>8.5</v>
      </c>
      <c r="G30" s="18">
        <v>6.56</v>
      </c>
      <c r="H30" s="19">
        <v>0.22800000000000001</v>
      </c>
      <c r="I30" s="18">
        <v>6560</v>
      </c>
      <c r="J30" s="5" t="s">
        <v>444</v>
      </c>
      <c r="K30" s="5">
        <v>80</v>
      </c>
      <c r="L30" s="5">
        <v>1</v>
      </c>
      <c r="M30" s="5"/>
      <c r="N30" s="5"/>
      <c r="O30" s="5" t="s">
        <v>1053</v>
      </c>
      <c r="P30" s="5" t="s">
        <v>978</v>
      </c>
      <c r="Q30" s="18">
        <v>302342</v>
      </c>
      <c r="R30" s="5" t="s">
        <v>1054</v>
      </c>
      <c r="S30" s="5" t="s">
        <v>967</v>
      </c>
      <c r="T30" s="19">
        <v>0.17100000000000001</v>
      </c>
      <c r="U30" s="19">
        <v>0.122</v>
      </c>
      <c r="V30" s="5" t="s">
        <v>980</v>
      </c>
      <c r="W30" s="5">
        <v>11</v>
      </c>
      <c r="X30" s="5" t="b">
        <f>FALSE()</f>
        <v>0</v>
      </c>
      <c r="Y30" s="19">
        <v>0.1</v>
      </c>
    </row>
    <row r="31" spans="1:25" ht="15" customHeight="1" x14ac:dyDescent="0.3">
      <c r="A31" s="5" t="s">
        <v>1055</v>
      </c>
      <c r="B31" s="5" t="s">
        <v>474</v>
      </c>
      <c r="C31" s="5" t="s">
        <v>422</v>
      </c>
      <c r="D31" s="5" t="s">
        <v>475</v>
      </c>
      <c r="E31" s="5" t="s">
        <v>976</v>
      </c>
      <c r="F31" s="18">
        <v>3.2</v>
      </c>
      <c r="G31" s="18">
        <v>2.74</v>
      </c>
      <c r="H31" s="19">
        <v>0.14299999999999999</v>
      </c>
      <c r="I31" s="18">
        <v>1370</v>
      </c>
      <c r="J31" s="5" t="s">
        <v>434</v>
      </c>
      <c r="K31" s="5">
        <v>11</v>
      </c>
      <c r="L31" s="5">
        <v>2</v>
      </c>
      <c r="M31" s="5"/>
      <c r="N31" s="5"/>
      <c r="O31" s="5" t="s">
        <v>506</v>
      </c>
      <c r="P31" s="5" t="s">
        <v>965</v>
      </c>
      <c r="Q31" s="18">
        <v>1902634</v>
      </c>
      <c r="R31" s="5" t="s">
        <v>1056</v>
      </c>
      <c r="S31" s="5" t="s">
        <v>967</v>
      </c>
      <c r="T31" s="19">
        <v>0.13100000000000001</v>
      </c>
      <c r="U31" s="19">
        <v>0.109</v>
      </c>
      <c r="V31" s="5" t="s">
        <v>968</v>
      </c>
      <c r="W31" s="5">
        <v>11</v>
      </c>
      <c r="X31" s="5" t="b">
        <f>TRUE()</f>
        <v>1</v>
      </c>
      <c r="Y31" s="19">
        <v>0.2</v>
      </c>
    </row>
    <row r="32" spans="1:25" ht="15" customHeight="1" x14ac:dyDescent="0.3">
      <c r="A32" s="5" t="s">
        <v>1057</v>
      </c>
      <c r="B32" s="5" t="s">
        <v>575</v>
      </c>
      <c r="C32" s="5" t="s">
        <v>550</v>
      </c>
      <c r="D32" s="5" t="s">
        <v>423</v>
      </c>
      <c r="E32" s="5" t="s">
        <v>976</v>
      </c>
      <c r="F32" s="18">
        <v>35</v>
      </c>
      <c r="G32" s="18">
        <v>34.97</v>
      </c>
      <c r="H32" s="19">
        <v>1E-3</v>
      </c>
      <c r="I32" s="18">
        <v>34970</v>
      </c>
      <c r="J32" s="5" t="s">
        <v>412</v>
      </c>
      <c r="K32" s="5">
        <v>35</v>
      </c>
      <c r="L32" s="5">
        <v>3</v>
      </c>
      <c r="M32" s="5"/>
      <c r="N32" s="5"/>
      <c r="O32" s="5" t="s">
        <v>429</v>
      </c>
      <c r="P32" s="5" t="s">
        <v>965</v>
      </c>
      <c r="Q32" s="18">
        <v>301415</v>
      </c>
      <c r="R32" s="5" t="s">
        <v>1058</v>
      </c>
      <c r="S32" s="5" t="s">
        <v>967</v>
      </c>
      <c r="T32" s="19">
        <v>5.1999999999999998E-2</v>
      </c>
      <c r="U32" s="19">
        <v>3.2000000000000001E-2</v>
      </c>
      <c r="V32" s="5" t="s">
        <v>985</v>
      </c>
      <c r="W32" s="5">
        <v>6</v>
      </c>
      <c r="X32" s="5" t="b">
        <f>FALSE()</f>
        <v>0</v>
      </c>
      <c r="Y32" s="19">
        <v>0.15</v>
      </c>
    </row>
    <row r="33" spans="1:25" ht="15" customHeight="1" x14ac:dyDescent="0.3">
      <c r="A33" s="5" t="s">
        <v>1059</v>
      </c>
      <c r="B33" s="5" t="s">
        <v>474</v>
      </c>
      <c r="C33" s="5" t="s">
        <v>550</v>
      </c>
      <c r="D33" s="5" t="s">
        <v>455</v>
      </c>
      <c r="E33" s="5" t="s">
        <v>976</v>
      </c>
      <c r="F33" s="18">
        <v>35</v>
      </c>
      <c r="G33" s="18">
        <v>34.299999999999997</v>
      </c>
      <c r="H33" s="19">
        <v>0.02</v>
      </c>
      <c r="I33" s="18">
        <v>17150</v>
      </c>
      <c r="J33" s="5" t="s">
        <v>434</v>
      </c>
      <c r="K33" s="5">
        <v>45</v>
      </c>
      <c r="L33" s="5">
        <v>1</v>
      </c>
      <c r="M33" s="5"/>
      <c r="N33" s="5"/>
      <c r="O33" s="5" t="s">
        <v>574</v>
      </c>
      <c r="P33" s="5" t="s">
        <v>965</v>
      </c>
      <c r="Q33" s="18">
        <v>895647</v>
      </c>
      <c r="R33" s="5" t="s">
        <v>1060</v>
      </c>
      <c r="S33" s="5" t="s">
        <v>967</v>
      </c>
      <c r="T33" s="19">
        <v>0.111</v>
      </c>
      <c r="U33" s="19">
        <v>7.5999999999999998E-2</v>
      </c>
      <c r="V33" s="5" t="s">
        <v>968</v>
      </c>
      <c r="W33" s="5">
        <v>6</v>
      </c>
      <c r="X33" s="5" t="b">
        <f>FALSE()</f>
        <v>0</v>
      </c>
      <c r="Y33" s="19">
        <v>0.2</v>
      </c>
    </row>
    <row r="34" spans="1:25" ht="15" customHeight="1" x14ac:dyDescent="0.3">
      <c r="A34" s="5" t="s">
        <v>1061</v>
      </c>
      <c r="B34" s="5" t="s">
        <v>454</v>
      </c>
      <c r="C34" s="5" t="s">
        <v>507</v>
      </c>
      <c r="D34" s="5" t="s">
        <v>475</v>
      </c>
      <c r="E34" s="5" t="s">
        <v>976</v>
      </c>
      <c r="F34" s="18">
        <v>8.9</v>
      </c>
      <c r="G34" s="18">
        <v>8.39</v>
      </c>
      <c r="H34" s="19">
        <v>5.7000000000000002E-2</v>
      </c>
      <c r="I34" s="18">
        <v>41950</v>
      </c>
      <c r="J34" s="5" t="s">
        <v>444</v>
      </c>
      <c r="K34" s="5">
        <v>9</v>
      </c>
      <c r="L34" s="5">
        <v>1</v>
      </c>
      <c r="M34" s="5"/>
      <c r="N34" s="5"/>
      <c r="O34" s="5" t="s">
        <v>1062</v>
      </c>
      <c r="P34" s="5" t="s">
        <v>972</v>
      </c>
      <c r="Q34" s="18">
        <v>461821</v>
      </c>
      <c r="R34" s="5" t="s">
        <v>1063</v>
      </c>
      <c r="S34" s="5" t="s">
        <v>967</v>
      </c>
      <c r="T34" s="19">
        <v>0.34699999999999998</v>
      </c>
      <c r="U34" s="19">
        <v>0.26400000000000001</v>
      </c>
      <c r="V34" s="5" t="s">
        <v>1035</v>
      </c>
      <c r="W34" s="5">
        <v>8</v>
      </c>
      <c r="X34" s="5" t="b">
        <f>FALSE()</f>
        <v>0</v>
      </c>
      <c r="Y34" s="19">
        <v>0.2</v>
      </c>
    </row>
    <row r="35" spans="1:25" ht="15" customHeight="1" x14ac:dyDescent="0.3">
      <c r="A35" s="5" t="s">
        <v>1064</v>
      </c>
      <c r="B35" s="5" t="s">
        <v>485</v>
      </c>
      <c r="C35" s="5" t="s">
        <v>492</v>
      </c>
      <c r="D35" s="5" t="s">
        <v>455</v>
      </c>
      <c r="E35" s="5" t="s">
        <v>976</v>
      </c>
      <c r="F35" s="18">
        <v>28</v>
      </c>
      <c r="G35" s="18">
        <v>24.92</v>
      </c>
      <c r="H35" s="19">
        <v>0.11</v>
      </c>
      <c r="I35" s="18">
        <v>12460</v>
      </c>
      <c r="J35" s="5" t="s">
        <v>444</v>
      </c>
      <c r="K35" s="5">
        <v>55</v>
      </c>
      <c r="L35" s="5">
        <v>3</v>
      </c>
      <c r="M35" s="5"/>
      <c r="N35" s="5"/>
      <c r="O35" s="5" t="s">
        <v>1065</v>
      </c>
      <c r="P35" s="5" t="s">
        <v>978</v>
      </c>
      <c r="Q35" s="18">
        <v>1208152</v>
      </c>
      <c r="R35" s="5" t="s">
        <v>1066</v>
      </c>
      <c r="S35" s="5" t="s">
        <v>967</v>
      </c>
      <c r="T35" s="19">
        <v>0.21</v>
      </c>
      <c r="U35" s="19">
        <v>0.19500000000000001</v>
      </c>
      <c r="V35" s="5" t="s">
        <v>1035</v>
      </c>
      <c r="W35" s="5">
        <v>11</v>
      </c>
      <c r="X35" s="5" t="b">
        <f>FALSE()</f>
        <v>0</v>
      </c>
      <c r="Y35" s="19">
        <v>0.2</v>
      </c>
    </row>
    <row r="36" spans="1:25" ht="15" customHeight="1" x14ac:dyDescent="0.3">
      <c r="A36" s="5" t="s">
        <v>1067</v>
      </c>
      <c r="B36" s="5" t="s">
        <v>485</v>
      </c>
      <c r="C36" s="5" t="s">
        <v>521</v>
      </c>
      <c r="D36" s="5" t="s">
        <v>432</v>
      </c>
      <c r="E36" s="5" t="s">
        <v>976</v>
      </c>
      <c r="F36" s="18">
        <v>12.75</v>
      </c>
      <c r="G36" s="18">
        <v>12.3</v>
      </c>
      <c r="H36" s="19">
        <v>3.5000000000000003E-2</v>
      </c>
      <c r="I36" s="18">
        <v>61500</v>
      </c>
      <c r="J36" s="5" t="s">
        <v>444</v>
      </c>
      <c r="K36" s="5">
        <v>55</v>
      </c>
      <c r="L36" s="5">
        <v>0</v>
      </c>
      <c r="M36" s="5"/>
      <c r="N36" s="5"/>
      <c r="O36" s="5" t="s">
        <v>1068</v>
      </c>
      <c r="P36" s="5" t="s">
        <v>965</v>
      </c>
      <c r="Q36" s="18">
        <v>975073</v>
      </c>
      <c r="R36" s="5" t="s">
        <v>1069</v>
      </c>
      <c r="S36" s="5" t="s">
        <v>967</v>
      </c>
      <c r="T36" s="19">
        <v>0.189</v>
      </c>
      <c r="U36" s="19">
        <v>0.14399999999999999</v>
      </c>
      <c r="V36" s="5" t="s">
        <v>974</v>
      </c>
      <c r="W36" s="5">
        <v>2</v>
      </c>
      <c r="X36" s="5" t="b">
        <f>FALSE()</f>
        <v>0</v>
      </c>
      <c r="Y36" s="19">
        <v>0.1</v>
      </c>
    </row>
    <row r="37" spans="1:25" ht="15" customHeight="1" x14ac:dyDescent="0.3">
      <c r="A37" s="5" t="s">
        <v>1070</v>
      </c>
      <c r="B37" s="5" t="s">
        <v>454</v>
      </c>
      <c r="C37" s="5" t="s">
        <v>440</v>
      </c>
      <c r="D37" s="5" t="s">
        <v>432</v>
      </c>
      <c r="E37" s="5" t="s">
        <v>976</v>
      </c>
      <c r="F37" s="18">
        <v>0.45</v>
      </c>
      <c r="G37" s="18">
        <v>0.36</v>
      </c>
      <c r="H37" s="19">
        <v>0.19800000000000001</v>
      </c>
      <c r="I37" s="18">
        <v>3600</v>
      </c>
      <c r="J37" s="5" t="s">
        <v>444</v>
      </c>
      <c r="K37" s="5">
        <v>41</v>
      </c>
      <c r="L37" s="5">
        <v>2</v>
      </c>
      <c r="M37" s="5"/>
      <c r="N37" s="5"/>
      <c r="O37" s="5" t="s">
        <v>586</v>
      </c>
      <c r="P37" s="5" t="s">
        <v>972</v>
      </c>
      <c r="Q37" s="18">
        <v>866710</v>
      </c>
      <c r="R37" s="5" t="s">
        <v>1071</v>
      </c>
      <c r="S37" s="5" t="s">
        <v>967</v>
      </c>
      <c r="T37" s="19">
        <v>0.32</v>
      </c>
      <c r="U37" s="19">
        <v>0.245</v>
      </c>
      <c r="V37" s="5" t="s">
        <v>974</v>
      </c>
      <c r="W37" s="5">
        <v>5</v>
      </c>
      <c r="X37" s="5" t="b">
        <f>TRUE()</f>
        <v>1</v>
      </c>
      <c r="Y37" s="19">
        <v>0.25</v>
      </c>
    </row>
    <row r="38" spans="1:25" ht="15" customHeight="1" x14ac:dyDescent="0.3">
      <c r="A38" s="5" t="s">
        <v>1072</v>
      </c>
      <c r="B38" s="5" t="s">
        <v>408</v>
      </c>
      <c r="C38" s="5" t="s">
        <v>550</v>
      </c>
      <c r="D38" s="5" t="s">
        <v>455</v>
      </c>
      <c r="E38" s="5" t="s">
        <v>976</v>
      </c>
      <c r="F38" s="18">
        <v>35</v>
      </c>
      <c r="G38" s="18">
        <v>33.81</v>
      </c>
      <c r="H38" s="19">
        <v>3.4000000000000002E-2</v>
      </c>
      <c r="I38" s="18">
        <v>16905</v>
      </c>
      <c r="J38" s="5" t="s">
        <v>412</v>
      </c>
      <c r="K38" s="5">
        <v>70</v>
      </c>
      <c r="L38" s="5">
        <v>1</v>
      </c>
      <c r="M38" s="5"/>
      <c r="N38" s="5"/>
      <c r="O38" s="5" t="s">
        <v>997</v>
      </c>
      <c r="P38" s="5" t="s">
        <v>972</v>
      </c>
      <c r="Q38" s="18">
        <v>1567020</v>
      </c>
      <c r="R38" s="5" t="s">
        <v>1073</v>
      </c>
      <c r="S38" s="5" t="s">
        <v>967</v>
      </c>
      <c r="T38" s="19">
        <v>0.23200000000000001</v>
      </c>
      <c r="U38" s="19">
        <v>0.17399999999999999</v>
      </c>
      <c r="V38" s="5" t="s">
        <v>980</v>
      </c>
      <c r="W38" s="5">
        <v>4</v>
      </c>
      <c r="X38" s="5" t="b">
        <f>FALSE()</f>
        <v>0</v>
      </c>
      <c r="Y38" s="19">
        <v>0.2</v>
      </c>
    </row>
    <row r="39" spans="1:25" ht="15" customHeight="1" x14ac:dyDescent="0.3">
      <c r="A39" s="5" t="s">
        <v>1074</v>
      </c>
      <c r="B39" s="5" t="s">
        <v>421</v>
      </c>
      <c r="C39" s="5" t="s">
        <v>440</v>
      </c>
      <c r="D39" s="5" t="s">
        <v>410</v>
      </c>
      <c r="E39" s="5" t="s">
        <v>962</v>
      </c>
      <c r="F39" s="18">
        <v>0.45</v>
      </c>
      <c r="G39" s="18">
        <v>0.41</v>
      </c>
      <c r="H39" s="19">
        <v>8.8999999999999996E-2</v>
      </c>
      <c r="I39" s="18">
        <v>205</v>
      </c>
      <c r="J39" s="5" t="s">
        <v>412</v>
      </c>
      <c r="K39" s="5">
        <v>77</v>
      </c>
      <c r="L39" s="5">
        <v>2</v>
      </c>
      <c r="M39" s="5" t="s">
        <v>1075</v>
      </c>
      <c r="N39" s="5" t="s">
        <v>970</v>
      </c>
      <c r="O39" s="5" t="s">
        <v>716</v>
      </c>
      <c r="P39" s="5" t="s">
        <v>972</v>
      </c>
      <c r="Q39" s="18">
        <v>55339</v>
      </c>
      <c r="R39" s="5" t="s">
        <v>1076</v>
      </c>
      <c r="S39" s="5" t="s">
        <v>967</v>
      </c>
      <c r="T39" s="19">
        <v>0.34300000000000003</v>
      </c>
      <c r="U39" s="19">
        <v>0.219</v>
      </c>
      <c r="V39" s="5" t="s">
        <v>1035</v>
      </c>
      <c r="W39" s="5">
        <v>3</v>
      </c>
      <c r="X39" s="5" t="b">
        <f>FALSE()</f>
        <v>0</v>
      </c>
      <c r="Y39" s="19">
        <v>0.15</v>
      </c>
    </row>
    <row r="40" spans="1:25" ht="15" customHeight="1" x14ac:dyDescent="0.3">
      <c r="A40" s="5" t="s">
        <v>1077</v>
      </c>
      <c r="B40" s="5" t="s">
        <v>408</v>
      </c>
      <c r="C40" s="5" t="s">
        <v>521</v>
      </c>
      <c r="D40" s="5" t="s">
        <v>455</v>
      </c>
      <c r="E40" s="5" t="s">
        <v>962</v>
      </c>
      <c r="F40" s="18">
        <v>12.75</v>
      </c>
      <c r="G40" s="18">
        <v>12.18</v>
      </c>
      <c r="H40" s="19">
        <v>4.4999999999999998E-2</v>
      </c>
      <c r="I40" s="18">
        <v>6090</v>
      </c>
      <c r="J40" s="5" t="s">
        <v>412</v>
      </c>
      <c r="K40" s="5">
        <v>106</v>
      </c>
      <c r="L40" s="5">
        <v>2</v>
      </c>
      <c r="M40" s="5" t="s">
        <v>993</v>
      </c>
      <c r="N40" s="5" t="s">
        <v>1033</v>
      </c>
      <c r="O40" s="5" t="s">
        <v>832</v>
      </c>
      <c r="P40" s="5" t="s">
        <v>972</v>
      </c>
      <c r="Q40" s="18">
        <v>940665</v>
      </c>
      <c r="R40" s="5" t="s">
        <v>1078</v>
      </c>
      <c r="S40" s="5" t="s">
        <v>967</v>
      </c>
      <c r="T40" s="19">
        <v>0.157</v>
      </c>
      <c r="U40" s="19">
        <v>0.14899999999999999</v>
      </c>
      <c r="V40" s="5" t="s">
        <v>974</v>
      </c>
      <c r="W40" s="5">
        <v>4</v>
      </c>
      <c r="X40" s="5" t="b">
        <f>FALSE()</f>
        <v>0</v>
      </c>
      <c r="Y40" s="19">
        <v>0.15</v>
      </c>
    </row>
    <row r="41" spans="1:25" ht="15" customHeight="1" x14ac:dyDescent="0.3">
      <c r="A41" s="5" t="s">
        <v>1079</v>
      </c>
      <c r="B41" s="5" t="s">
        <v>479</v>
      </c>
      <c r="C41" s="5" t="s">
        <v>431</v>
      </c>
      <c r="D41" s="5" t="s">
        <v>475</v>
      </c>
      <c r="E41" s="5" t="s">
        <v>976</v>
      </c>
      <c r="F41" s="18">
        <v>42</v>
      </c>
      <c r="G41" s="18">
        <v>31.75</v>
      </c>
      <c r="H41" s="19">
        <v>0.24399999999999999</v>
      </c>
      <c r="I41" s="18">
        <v>15875</v>
      </c>
      <c r="J41" s="5" t="s">
        <v>444</v>
      </c>
      <c r="K41" s="5">
        <v>116</v>
      </c>
      <c r="L41" s="5">
        <v>1</v>
      </c>
      <c r="M41" s="5"/>
      <c r="N41" s="5"/>
      <c r="O41" s="5" t="s">
        <v>1080</v>
      </c>
      <c r="P41" s="5" t="s">
        <v>965</v>
      </c>
      <c r="Q41" s="18">
        <v>880691</v>
      </c>
      <c r="R41" s="5" t="s">
        <v>1081</v>
      </c>
      <c r="S41" s="5" t="s">
        <v>967</v>
      </c>
      <c r="T41" s="19">
        <v>0.115</v>
      </c>
      <c r="U41" s="19">
        <v>0.111</v>
      </c>
      <c r="V41" s="5" t="s">
        <v>985</v>
      </c>
      <c r="W41" s="5">
        <v>7</v>
      </c>
      <c r="X41" s="5" t="b">
        <f>TRUE()</f>
        <v>1</v>
      </c>
      <c r="Y41" s="19">
        <v>0.1</v>
      </c>
    </row>
    <row r="42" spans="1:25" ht="15" customHeight="1" x14ac:dyDescent="0.3">
      <c r="A42" s="5" t="s">
        <v>1082</v>
      </c>
      <c r="B42" s="5" t="s">
        <v>408</v>
      </c>
      <c r="C42" s="5" t="s">
        <v>521</v>
      </c>
      <c r="D42" s="5" t="s">
        <v>432</v>
      </c>
      <c r="E42" s="5" t="s">
        <v>976</v>
      </c>
      <c r="F42" s="18">
        <v>12.75</v>
      </c>
      <c r="G42" s="18">
        <v>12.21</v>
      </c>
      <c r="H42" s="19">
        <v>4.2000000000000003E-2</v>
      </c>
      <c r="I42" s="18">
        <v>12210</v>
      </c>
      <c r="J42" s="5" t="s">
        <v>412</v>
      </c>
      <c r="K42" s="5">
        <v>49</v>
      </c>
      <c r="L42" s="5">
        <v>1</v>
      </c>
      <c r="M42" s="5"/>
      <c r="N42" s="5"/>
      <c r="O42" s="5" t="s">
        <v>468</v>
      </c>
      <c r="P42" s="5" t="s">
        <v>965</v>
      </c>
      <c r="Q42" s="18">
        <v>1763027</v>
      </c>
      <c r="R42" s="5" t="s">
        <v>1083</v>
      </c>
      <c r="S42" s="5" t="s">
        <v>967</v>
      </c>
      <c r="T42" s="19">
        <v>0.32600000000000001</v>
      </c>
      <c r="U42" s="19">
        <v>0.28999999999999998</v>
      </c>
      <c r="V42" s="5" t="s">
        <v>980</v>
      </c>
      <c r="W42" s="5">
        <v>9</v>
      </c>
      <c r="X42" s="5" t="b">
        <f>TRUE()</f>
        <v>1</v>
      </c>
      <c r="Y42" s="19">
        <v>0.2</v>
      </c>
    </row>
    <row r="43" spans="1:25" ht="15" customHeight="1" x14ac:dyDescent="0.3">
      <c r="A43" s="5" t="s">
        <v>1084</v>
      </c>
      <c r="B43" s="5" t="s">
        <v>408</v>
      </c>
      <c r="C43" s="5" t="s">
        <v>507</v>
      </c>
      <c r="D43" s="5" t="s">
        <v>410</v>
      </c>
      <c r="E43" s="5" t="s">
        <v>976</v>
      </c>
      <c r="F43" s="18">
        <v>8.9</v>
      </c>
      <c r="G43" s="18">
        <v>7.83</v>
      </c>
      <c r="H43" s="19">
        <v>0.12</v>
      </c>
      <c r="I43" s="18">
        <v>39150</v>
      </c>
      <c r="J43" s="5" t="s">
        <v>412</v>
      </c>
      <c r="K43" s="5">
        <v>41</v>
      </c>
      <c r="L43" s="5">
        <v>2</v>
      </c>
      <c r="M43" s="5"/>
      <c r="N43" s="5"/>
      <c r="O43" s="5" t="s">
        <v>1085</v>
      </c>
      <c r="P43" s="5" t="s">
        <v>982</v>
      </c>
      <c r="Q43" s="18">
        <v>1609803</v>
      </c>
      <c r="R43" s="5" t="s">
        <v>1086</v>
      </c>
      <c r="S43" s="5" t="s">
        <v>967</v>
      </c>
      <c r="T43" s="19">
        <v>9.8000000000000004E-2</v>
      </c>
      <c r="U43" s="19">
        <v>7.3999999999999996E-2</v>
      </c>
      <c r="V43" s="5" t="s">
        <v>974</v>
      </c>
      <c r="W43" s="5">
        <v>13</v>
      </c>
      <c r="X43" s="5" t="b">
        <f>FALSE()</f>
        <v>0</v>
      </c>
      <c r="Y43" s="19">
        <v>0.25</v>
      </c>
    </row>
    <row r="44" spans="1:25" ht="15" customHeight="1" x14ac:dyDescent="0.3">
      <c r="A44" s="5" t="s">
        <v>1087</v>
      </c>
      <c r="B44" s="5" t="s">
        <v>454</v>
      </c>
      <c r="C44" s="5" t="s">
        <v>521</v>
      </c>
      <c r="D44" s="5" t="s">
        <v>423</v>
      </c>
      <c r="E44" s="5" t="s">
        <v>962</v>
      </c>
      <c r="F44" s="18">
        <v>12.75</v>
      </c>
      <c r="G44" s="18">
        <v>12.52</v>
      </c>
      <c r="H44" s="19">
        <v>1.7999999999999999E-2</v>
      </c>
      <c r="I44" s="18">
        <v>12520</v>
      </c>
      <c r="J44" s="5" t="s">
        <v>444</v>
      </c>
      <c r="K44" s="5">
        <v>20</v>
      </c>
      <c r="L44" s="5">
        <v>2</v>
      </c>
      <c r="M44" s="5" t="s">
        <v>1088</v>
      </c>
      <c r="N44" s="5" t="s">
        <v>994</v>
      </c>
      <c r="O44" s="5" t="s">
        <v>1089</v>
      </c>
      <c r="P44" s="5" t="s">
        <v>982</v>
      </c>
      <c r="Q44" s="18">
        <v>403458</v>
      </c>
      <c r="R44" s="5" t="s">
        <v>1090</v>
      </c>
      <c r="S44" s="5" t="s">
        <v>967</v>
      </c>
      <c r="T44" s="19">
        <v>0.28799999999999998</v>
      </c>
      <c r="U44" s="19">
        <v>0.224</v>
      </c>
      <c r="V44" s="5" t="s">
        <v>968</v>
      </c>
      <c r="W44" s="5">
        <v>14</v>
      </c>
      <c r="X44" s="5" t="b">
        <f>FALSE()</f>
        <v>0</v>
      </c>
      <c r="Y44" s="19">
        <v>0.25</v>
      </c>
    </row>
    <row r="45" spans="1:25" ht="15" customHeight="1" x14ac:dyDescent="0.3">
      <c r="A45" s="5" t="s">
        <v>1091</v>
      </c>
      <c r="B45" s="5" t="s">
        <v>474</v>
      </c>
      <c r="C45" s="5" t="s">
        <v>507</v>
      </c>
      <c r="D45" s="5" t="s">
        <v>455</v>
      </c>
      <c r="E45" s="5" t="s">
        <v>976</v>
      </c>
      <c r="F45" s="18">
        <v>8.9</v>
      </c>
      <c r="G45" s="18">
        <v>7.08</v>
      </c>
      <c r="H45" s="19">
        <v>0.20499999999999999</v>
      </c>
      <c r="I45" s="18">
        <v>7080</v>
      </c>
      <c r="J45" s="5" t="s">
        <v>434</v>
      </c>
      <c r="K45" s="5">
        <v>68</v>
      </c>
      <c r="L45" s="5">
        <v>2</v>
      </c>
      <c r="M45" s="5"/>
      <c r="N45" s="5"/>
      <c r="O45" s="5" t="s">
        <v>1092</v>
      </c>
      <c r="P45" s="5" t="s">
        <v>982</v>
      </c>
      <c r="Q45" s="18">
        <v>909341</v>
      </c>
      <c r="R45" s="5" t="s">
        <v>1093</v>
      </c>
      <c r="S45" s="5" t="s">
        <v>967</v>
      </c>
      <c r="T45" s="19">
        <v>0.22900000000000001</v>
      </c>
      <c r="U45" s="19">
        <v>0.16600000000000001</v>
      </c>
      <c r="V45" s="5" t="s">
        <v>980</v>
      </c>
      <c r="W45" s="5">
        <v>11</v>
      </c>
      <c r="X45" s="5" t="b">
        <f>FALSE()</f>
        <v>0</v>
      </c>
      <c r="Y45" s="19">
        <v>0.15</v>
      </c>
    </row>
    <row r="46" spans="1:25" ht="15" customHeight="1" x14ac:dyDescent="0.3">
      <c r="A46" s="5" t="s">
        <v>1094</v>
      </c>
      <c r="B46" s="5" t="s">
        <v>408</v>
      </c>
      <c r="C46" s="5" t="s">
        <v>431</v>
      </c>
      <c r="D46" s="5" t="s">
        <v>410</v>
      </c>
      <c r="E46" s="5" t="s">
        <v>976</v>
      </c>
      <c r="F46" s="18">
        <v>42</v>
      </c>
      <c r="G46" s="18">
        <v>31.08</v>
      </c>
      <c r="H46" s="19">
        <v>0.26</v>
      </c>
      <c r="I46" s="18">
        <v>310800</v>
      </c>
      <c r="J46" s="5" t="s">
        <v>412</v>
      </c>
      <c r="K46" s="5">
        <v>105</v>
      </c>
      <c r="L46" s="5">
        <v>3</v>
      </c>
      <c r="M46" s="5"/>
      <c r="N46" s="5"/>
      <c r="O46" s="5" t="s">
        <v>1095</v>
      </c>
      <c r="P46" s="5" t="s">
        <v>972</v>
      </c>
      <c r="Q46" s="18">
        <v>1956896</v>
      </c>
      <c r="R46" s="5" t="s">
        <v>1096</v>
      </c>
      <c r="S46" s="5" t="s">
        <v>967</v>
      </c>
      <c r="T46" s="19">
        <v>0.34499999999999997</v>
      </c>
      <c r="U46" s="19">
        <v>0.29699999999999999</v>
      </c>
      <c r="V46" s="5" t="s">
        <v>985</v>
      </c>
      <c r="W46" s="5">
        <v>6</v>
      </c>
      <c r="X46" s="5" t="b">
        <f>TRUE()</f>
        <v>1</v>
      </c>
      <c r="Y46" s="19">
        <v>0.15</v>
      </c>
    </row>
    <row r="47" spans="1:25" ht="15" customHeight="1" x14ac:dyDescent="0.3">
      <c r="A47" s="5" t="s">
        <v>1097</v>
      </c>
      <c r="B47" s="5" t="s">
        <v>575</v>
      </c>
      <c r="C47" s="5" t="s">
        <v>550</v>
      </c>
      <c r="D47" s="5" t="s">
        <v>455</v>
      </c>
      <c r="E47" s="5" t="s">
        <v>962</v>
      </c>
      <c r="F47" s="18">
        <v>35</v>
      </c>
      <c r="G47" s="18">
        <v>28.52</v>
      </c>
      <c r="H47" s="19">
        <v>0.185</v>
      </c>
      <c r="I47" s="18">
        <v>142600</v>
      </c>
      <c r="J47" s="5" t="s">
        <v>412</v>
      </c>
      <c r="K47" s="5">
        <v>91</v>
      </c>
      <c r="L47" s="5">
        <v>3</v>
      </c>
      <c r="M47" s="5" t="s">
        <v>1075</v>
      </c>
      <c r="N47" s="5" t="s">
        <v>970</v>
      </c>
      <c r="O47" s="5" t="s">
        <v>554</v>
      </c>
      <c r="P47" s="5" t="s">
        <v>978</v>
      </c>
      <c r="Q47" s="18">
        <v>72707</v>
      </c>
      <c r="R47" s="5" t="s">
        <v>1098</v>
      </c>
      <c r="S47" s="5" t="s">
        <v>967</v>
      </c>
      <c r="T47" s="19">
        <v>0.33300000000000002</v>
      </c>
      <c r="U47" s="19">
        <v>0.28699999999999998</v>
      </c>
      <c r="V47" s="5" t="s">
        <v>968</v>
      </c>
      <c r="W47" s="5">
        <v>2</v>
      </c>
      <c r="X47" s="5" t="b">
        <f>TRUE()</f>
        <v>1</v>
      </c>
      <c r="Y47" s="19">
        <v>0.25</v>
      </c>
    </row>
    <row r="48" spans="1:25" ht="15" customHeight="1" x14ac:dyDescent="0.3">
      <c r="A48" s="5" t="s">
        <v>1099</v>
      </c>
      <c r="B48" s="5" t="s">
        <v>454</v>
      </c>
      <c r="C48" s="5" t="s">
        <v>550</v>
      </c>
      <c r="D48" s="5" t="s">
        <v>475</v>
      </c>
      <c r="E48" s="5" t="s">
        <v>963</v>
      </c>
      <c r="F48" s="18">
        <v>35</v>
      </c>
      <c r="G48" s="18">
        <v>25.86</v>
      </c>
      <c r="H48" s="19">
        <v>0.26100000000000001</v>
      </c>
      <c r="I48" s="18">
        <v>12930</v>
      </c>
      <c r="J48" s="5" t="s">
        <v>444</v>
      </c>
      <c r="K48" s="5">
        <v>103</v>
      </c>
      <c r="L48" s="5">
        <v>2</v>
      </c>
      <c r="M48" s="5"/>
      <c r="N48" s="5"/>
      <c r="O48" s="5" t="s">
        <v>1100</v>
      </c>
      <c r="P48" s="5" t="s">
        <v>972</v>
      </c>
      <c r="Q48" s="18">
        <v>695245</v>
      </c>
      <c r="R48" s="5" t="s">
        <v>1101</v>
      </c>
      <c r="S48" s="5" t="s">
        <v>984</v>
      </c>
      <c r="T48" s="19">
        <v>0.248</v>
      </c>
      <c r="U48" s="19">
        <v>0.18</v>
      </c>
      <c r="V48" s="5" t="s">
        <v>968</v>
      </c>
      <c r="W48" s="5">
        <v>13</v>
      </c>
      <c r="X48" s="5" t="b">
        <f>FALSE()</f>
        <v>0</v>
      </c>
      <c r="Y48" s="19">
        <v>0.1</v>
      </c>
    </row>
    <row r="49" spans="1:25" ht="15" customHeight="1" x14ac:dyDescent="0.3">
      <c r="A49" s="5" t="s">
        <v>1102</v>
      </c>
      <c r="B49" s="5" t="s">
        <v>479</v>
      </c>
      <c r="C49" s="5" t="s">
        <v>409</v>
      </c>
      <c r="D49" s="5" t="s">
        <v>455</v>
      </c>
      <c r="E49" s="5" t="s">
        <v>976</v>
      </c>
      <c r="F49" s="18">
        <v>8.5</v>
      </c>
      <c r="G49" s="18">
        <v>6.86</v>
      </c>
      <c r="H49" s="19">
        <v>0.193</v>
      </c>
      <c r="I49" s="18">
        <v>34300</v>
      </c>
      <c r="J49" s="5" t="s">
        <v>444</v>
      </c>
      <c r="K49" s="5">
        <v>111</v>
      </c>
      <c r="L49" s="5">
        <v>1</v>
      </c>
      <c r="M49" s="5"/>
      <c r="N49" s="5"/>
      <c r="O49" s="5" t="s">
        <v>729</v>
      </c>
      <c r="P49" s="5" t="s">
        <v>982</v>
      </c>
      <c r="Q49" s="18">
        <v>916168</v>
      </c>
      <c r="R49" s="5" t="s">
        <v>1103</v>
      </c>
      <c r="S49" s="5" t="s">
        <v>967</v>
      </c>
      <c r="T49" s="19">
        <v>6.0999999999999999E-2</v>
      </c>
      <c r="U49" s="19">
        <v>5.8000000000000003E-2</v>
      </c>
      <c r="V49" s="5" t="s">
        <v>974</v>
      </c>
      <c r="W49" s="5">
        <v>14</v>
      </c>
      <c r="X49" s="5" t="b">
        <f>FALSE()</f>
        <v>0</v>
      </c>
      <c r="Y49" s="19">
        <v>0.15</v>
      </c>
    </row>
    <row r="50" spans="1:25" ht="15" customHeight="1" x14ac:dyDescent="0.3">
      <c r="A50" s="5" t="s">
        <v>1104</v>
      </c>
      <c r="B50" s="5" t="s">
        <v>430</v>
      </c>
      <c r="C50" s="5" t="s">
        <v>460</v>
      </c>
      <c r="D50" s="5" t="s">
        <v>432</v>
      </c>
      <c r="E50" s="5" t="s">
        <v>963</v>
      </c>
      <c r="F50" s="18">
        <v>22.5</v>
      </c>
      <c r="G50" s="18">
        <v>19.48</v>
      </c>
      <c r="H50" s="19">
        <v>0.13400000000000001</v>
      </c>
      <c r="I50" s="18">
        <v>9740</v>
      </c>
      <c r="J50" s="5" t="s">
        <v>434</v>
      </c>
      <c r="K50" s="5">
        <v>70</v>
      </c>
      <c r="L50" s="5">
        <v>3</v>
      </c>
      <c r="M50" s="5"/>
      <c r="N50" s="5"/>
      <c r="O50" s="5" t="s">
        <v>1105</v>
      </c>
      <c r="P50" s="5" t="s">
        <v>978</v>
      </c>
      <c r="Q50" s="18">
        <v>250154</v>
      </c>
      <c r="R50" s="5" t="s">
        <v>1106</v>
      </c>
      <c r="S50" s="5" t="s">
        <v>984</v>
      </c>
      <c r="T50" s="19">
        <v>5.7000000000000002E-2</v>
      </c>
      <c r="U50" s="19">
        <v>5.0999999999999997E-2</v>
      </c>
      <c r="V50" s="5" t="s">
        <v>974</v>
      </c>
      <c r="W50" s="5">
        <v>14</v>
      </c>
      <c r="X50" s="5" t="b">
        <f>FALSE()</f>
        <v>0</v>
      </c>
      <c r="Y50" s="19">
        <v>0.15</v>
      </c>
    </row>
    <row r="51" spans="1:25" ht="15" customHeight="1" x14ac:dyDescent="0.3">
      <c r="A51" s="5" t="s">
        <v>1107</v>
      </c>
      <c r="B51" s="5" t="s">
        <v>474</v>
      </c>
      <c r="C51" s="5" t="s">
        <v>409</v>
      </c>
      <c r="D51" s="5" t="s">
        <v>455</v>
      </c>
      <c r="E51" s="5" t="s">
        <v>976</v>
      </c>
      <c r="F51" s="18">
        <v>8.5</v>
      </c>
      <c r="G51" s="18">
        <v>6.39</v>
      </c>
      <c r="H51" s="19">
        <v>0.248</v>
      </c>
      <c r="I51" s="18">
        <v>63900</v>
      </c>
      <c r="J51" s="5" t="s">
        <v>434</v>
      </c>
      <c r="K51" s="5">
        <v>86</v>
      </c>
      <c r="L51" s="5">
        <v>3</v>
      </c>
      <c r="M51" s="5"/>
      <c r="N51" s="5"/>
      <c r="O51" s="5" t="s">
        <v>1108</v>
      </c>
      <c r="P51" s="5" t="s">
        <v>972</v>
      </c>
      <c r="Q51" s="18">
        <v>1326462</v>
      </c>
      <c r="R51" s="5" t="s">
        <v>1109</v>
      </c>
      <c r="S51" s="5" t="s">
        <v>967</v>
      </c>
      <c r="T51" s="19">
        <v>0.192</v>
      </c>
      <c r="U51" s="19">
        <v>0.13200000000000001</v>
      </c>
      <c r="V51" s="5" t="s">
        <v>974</v>
      </c>
      <c r="W51" s="5">
        <v>7</v>
      </c>
      <c r="X51" s="5" t="b">
        <f>FALSE()</f>
        <v>0</v>
      </c>
      <c r="Y51" s="19">
        <v>0.2</v>
      </c>
    </row>
    <row r="52" spans="1:25" ht="15" customHeight="1" x14ac:dyDescent="0.3">
      <c r="A52" s="5" t="s">
        <v>1110</v>
      </c>
      <c r="B52" s="5" t="s">
        <v>443</v>
      </c>
      <c r="C52" s="5" t="s">
        <v>507</v>
      </c>
      <c r="D52" s="5" t="s">
        <v>410</v>
      </c>
      <c r="E52" s="5" t="s">
        <v>962</v>
      </c>
      <c r="F52" s="18">
        <v>8.9</v>
      </c>
      <c r="G52" s="18">
        <v>6.72</v>
      </c>
      <c r="H52" s="19">
        <v>0.245</v>
      </c>
      <c r="I52" s="18">
        <v>33600</v>
      </c>
      <c r="J52" s="5" t="s">
        <v>444</v>
      </c>
      <c r="K52" s="5">
        <v>49</v>
      </c>
      <c r="L52" s="5">
        <v>2</v>
      </c>
      <c r="M52" s="5" t="s">
        <v>1088</v>
      </c>
      <c r="N52" s="5" t="s">
        <v>1111</v>
      </c>
      <c r="O52" s="5" t="s">
        <v>809</v>
      </c>
      <c r="P52" s="5" t="s">
        <v>978</v>
      </c>
      <c r="Q52" s="18">
        <v>240002</v>
      </c>
      <c r="R52" s="5" t="s">
        <v>1112</v>
      </c>
      <c r="S52" s="5" t="s">
        <v>967</v>
      </c>
      <c r="T52" s="19">
        <v>0.29599999999999999</v>
      </c>
      <c r="U52" s="19">
        <v>0.27300000000000002</v>
      </c>
      <c r="V52" s="5" t="s">
        <v>974</v>
      </c>
      <c r="W52" s="5">
        <v>9</v>
      </c>
      <c r="X52" s="5" t="b">
        <f>FALSE()</f>
        <v>0</v>
      </c>
      <c r="Y52" s="19">
        <v>0.15</v>
      </c>
    </row>
    <row r="53" spans="1:25" ht="15" customHeight="1" x14ac:dyDescent="0.3">
      <c r="A53" s="5" t="s">
        <v>1113</v>
      </c>
      <c r="B53" s="5" t="s">
        <v>531</v>
      </c>
      <c r="C53" s="5" t="s">
        <v>409</v>
      </c>
      <c r="D53" s="5" t="s">
        <v>410</v>
      </c>
      <c r="E53" s="5" t="s">
        <v>976</v>
      </c>
      <c r="F53" s="18">
        <v>8.5</v>
      </c>
      <c r="G53" s="18">
        <v>6.89</v>
      </c>
      <c r="H53" s="19">
        <v>0.19</v>
      </c>
      <c r="I53" s="18">
        <v>17225</v>
      </c>
      <c r="J53" s="5" t="s">
        <v>434</v>
      </c>
      <c r="K53" s="5">
        <v>77</v>
      </c>
      <c r="L53" s="5">
        <v>2</v>
      </c>
      <c r="M53" s="5"/>
      <c r="N53" s="5"/>
      <c r="O53" s="5" t="s">
        <v>1114</v>
      </c>
      <c r="P53" s="5" t="s">
        <v>978</v>
      </c>
      <c r="Q53" s="18">
        <v>139267</v>
      </c>
      <c r="R53" s="5" t="s">
        <v>1115</v>
      </c>
      <c r="S53" s="5" t="s">
        <v>967</v>
      </c>
      <c r="T53" s="19">
        <v>7.3999999999999996E-2</v>
      </c>
      <c r="U53" s="19">
        <v>6.4000000000000001E-2</v>
      </c>
      <c r="V53" s="5" t="s">
        <v>985</v>
      </c>
      <c r="W53" s="5">
        <v>14</v>
      </c>
      <c r="X53" s="5" t="b">
        <f>FALSE()</f>
        <v>0</v>
      </c>
      <c r="Y53" s="19">
        <v>0.1</v>
      </c>
    </row>
    <row r="54" spans="1:25" ht="15" customHeight="1" x14ac:dyDescent="0.3">
      <c r="A54" s="5" t="s">
        <v>1116</v>
      </c>
      <c r="B54" s="5" t="s">
        <v>454</v>
      </c>
      <c r="C54" s="5" t="s">
        <v>460</v>
      </c>
      <c r="D54" s="5" t="s">
        <v>423</v>
      </c>
      <c r="E54" s="5" t="s">
        <v>962</v>
      </c>
      <c r="F54" s="18">
        <v>22.5</v>
      </c>
      <c r="G54" s="18">
        <v>17.48</v>
      </c>
      <c r="H54" s="19">
        <v>0.223</v>
      </c>
      <c r="I54" s="18">
        <v>87400</v>
      </c>
      <c r="J54" s="5" t="s">
        <v>444</v>
      </c>
      <c r="K54" s="5">
        <v>20</v>
      </c>
      <c r="L54" s="5">
        <v>1</v>
      </c>
      <c r="M54" s="5" t="s">
        <v>1088</v>
      </c>
      <c r="N54" s="5"/>
      <c r="O54" s="5" t="s">
        <v>1117</v>
      </c>
      <c r="P54" s="5" t="s">
        <v>982</v>
      </c>
      <c r="Q54" s="18">
        <v>470400</v>
      </c>
      <c r="R54" s="5" t="s">
        <v>1118</v>
      </c>
      <c r="S54" s="5" t="s">
        <v>967</v>
      </c>
      <c r="T54" s="19">
        <v>0.17799999999999999</v>
      </c>
      <c r="U54" s="19">
        <v>0.125</v>
      </c>
      <c r="V54" s="5" t="s">
        <v>980</v>
      </c>
      <c r="W54" s="5">
        <v>10</v>
      </c>
      <c r="X54" s="5" t="b">
        <f>TRUE()</f>
        <v>1</v>
      </c>
      <c r="Y54" s="19">
        <v>0.25</v>
      </c>
    </row>
    <row r="55" spans="1:25" ht="15" customHeight="1" x14ac:dyDescent="0.3">
      <c r="A55" s="5" t="s">
        <v>1119</v>
      </c>
      <c r="B55" s="5" t="s">
        <v>531</v>
      </c>
      <c r="C55" s="5" t="s">
        <v>507</v>
      </c>
      <c r="D55" s="5" t="s">
        <v>432</v>
      </c>
      <c r="E55" s="5" t="s">
        <v>962</v>
      </c>
      <c r="F55" s="18">
        <v>8.9</v>
      </c>
      <c r="G55" s="18">
        <v>8.7799999999999994</v>
      </c>
      <c r="H55" s="19">
        <v>1.4E-2</v>
      </c>
      <c r="I55" s="18">
        <v>87800</v>
      </c>
      <c r="J55" s="5" t="s">
        <v>434</v>
      </c>
      <c r="K55" s="5">
        <v>22</v>
      </c>
      <c r="L55" s="5">
        <v>2</v>
      </c>
      <c r="M55" s="5" t="s">
        <v>1120</v>
      </c>
      <c r="N55" s="5" t="s">
        <v>994</v>
      </c>
      <c r="O55" s="5" t="s">
        <v>1121</v>
      </c>
      <c r="P55" s="5" t="s">
        <v>982</v>
      </c>
      <c r="Q55" s="18">
        <v>58458</v>
      </c>
      <c r="R55" s="5" t="s">
        <v>1122</v>
      </c>
      <c r="S55" s="5" t="s">
        <v>967</v>
      </c>
      <c r="T55" s="19">
        <v>7.5999999999999998E-2</v>
      </c>
      <c r="U55" s="19">
        <v>5.5E-2</v>
      </c>
      <c r="V55" s="5" t="s">
        <v>1035</v>
      </c>
      <c r="W55" s="5">
        <v>14</v>
      </c>
      <c r="X55" s="5" t="b">
        <f>FALSE()</f>
        <v>0</v>
      </c>
      <c r="Y55" s="19">
        <v>0.1</v>
      </c>
    </row>
    <row r="56" spans="1:25" ht="15" customHeight="1" x14ac:dyDescent="0.3">
      <c r="A56" s="5" t="s">
        <v>1123</v>
      </c>
      <c r="B56" s="5" t="s">
        <v>485</v>
      </c>
      <c r="C56" s="5" t="s">
        <v>550</v>
      </c>
      <c r="D56" s="5" t="s">
        <v>475</v>
      </c>
      <c r="E56" s="5" t="s">
        <v>962</v>
      </c>
      <c r="F56" s="18">
        <v>35</v>
      </c>
      <c r="G56" s="18">
        <v>29.93</v>
      </c>
      <c r="H56" s="19">
        <v>0.14499999999999999</v>
      </c>
      <c r="I56" s="18">
        <v>299300</v>
      </c>
      <c r="J56" s="5" t="s">
        <v>444</v>
      </c>
      <c r="K56" s="5">
        <v>106</v>
      </c>
      <c r="L56" s="5">
        <v>1</v>
      </c>
      <c r="M56" s="5" t="s">
        <v>963</v>
      </c>
      <c r="N56" s="5" t="s">
        <v>1023</v>
      </c>
      <c r="O56" s="5" t="s">
        <v>1124</v>
      </c>
      <c r="P56" s="5" t="s">
        <v>982</v>
      </c>
      <c r="Q56" s="18">
        <v>1332168</v>
      </c>
      <c r="R56" s="5" t="s">
        <v>1125</v>
      </c>
      <c r="S56" s="5" t="s">
        <v>967</v>
      </c>
      <c r="T56" s="19">
        <v>0.14299999999999999</v>
      </c>
      <c r="U56" s="19">
        <v>0.129</v>
      </c>
      <c r="V56" s="5" t="s">
        <v>1035</v>
      </c>
      <c r="W56" s="5">
        <v>14</v>
      </c>
      <c r="X56" s="5" t="b">
        <f>FALSE()</f>
        <v>0</v>
      </c>
      <c r="Y56" s="19">
        <v>0.1</v>
      </c>
    </row>
    <row r="57" spans="1:25" ht="15" customHeight="1" x14ac:dyDescent="0.3">
      <c r="A57" s="5" t="s">
        <v>1126</v>
      </c>
      <c r="B57" s="5" t="s">
        <v>430</v>
      </c>
      <c r="C57" s="5" t="s">
        <v>507</v>
      </c>
      <c r="D57" s="5" t="s">
        <v>455</v>
      </c>
      <c r="E57" s="5" t="s">
        <v>963</v>
      </c>
      <c r="F57" s="18">
        <v>8.9</v>
      </c>
      <c r="G57" s="18">
        <v>7.78</v>
      </c>
      <c r="H57" s="19">
        <v>0.126</v>
      </c>
      <c r="I57" s="18">
        <v>77800</v>
      </c>
      <c r="J57" s="5" t="s">
        <v>434</v>
      </c>
      <c r="K57" s="5">
        <v>95</v>
      </c>
      <c r="L57" s="5">
        <v>1</v>
      </c>
      <c r="M57" s="5"/>
      <c r="N57" s="5"/>
      <c r="O57" s="5" t="s">
        <v>1127</v>
      </c>
      <c r="P57" s="5" t="s">
        <v>982</v>
      </c>
      <c r="Q57" s="18">
        <v>1929007</v>
      </c>
      <c r="R57" s="5" t="s">
        <v>1128</v>
      </c>
      <c r="S57" s="5" t="s">
        <v>984</v>
      </c>
      <c r="T57" s="19">
        <v>5.1999999999999998E-2</v>
      </c>
      <c r="U57" s="19">
        <v>3.3000000000000002E-2</v>
      </c>
      <c r="V57" s="5" t="s">
        <v>985</v>
      </c>
      <c r="W57" s="5">
        <v>7</v>
      </c>
      <c r="X57" s="5" t="b">
        <f>FALSE()</f>
        <v>0</v>
      </c>
      <c r="Y57" s="19">
        <v>0.15</v>
      </c>
    </row>
    <row r="58" spans="1:25" ht="15" customHeight="1" x14ac:dyDescent="0.3">
      <c r="A58" s="5" t="s">
        <v>1129</v>
      </c>
      <c r="B58" s="5" t="s">
        <v>479</v>
      </c>
      <c r="C58" s="5" t="s">
        <v>460</v>
      </c>
      <c r="D58" s="5" t="s">
        <v>423</v>
      </c>
      <c r="E58" s="5" t="s">
        <v>976</v>
      </c>
      <c r="F58" s="18">
        <v>22.5</v>
      </c>
      <c r="G58" s="18">
        <v>18.43</v>
      </c>
      <c r="H58" s="19">
        <v>0.18099999999999999</v>
      </c>
      <c r="I58" s="18">
        <v>184300</v>
      </c>
      <c r="J58" s="5" t="s">
        <v>444</v>
      </c>
      <c r="K58" s="5">
        <v>45</v>
      </c>
      <c r="L58" s="5">
        <v>3</v>
      </c>
      <c r="M58" s="5"/>
      <c r="N58" s="5"/>
      <c r="O58" s="5" t="s">
        <v>1068</v>
      </c>
      <c r="P58" s="5" t="s">
        <v>965</v>
      </c>
      <c r="Q58" s="18">
        <v>1438155</v>
      </c>
      <c r="R58" s="5" t="s">
        <v>1130</v>
      </c>
      <c r="S58" s="5" t="s">
        <v>967</v>
      </c>
      <c r="T58" s="19">
        <v>0.14899999999999999</v>
      </c>
      <c r="U58" s="19">
        <v>0.115</v>
      </c>
      <c r="V58" s="5" t="s">
        <v>1035</v>
      </c>
      <c r="W58" s="5">
        <v>10</v>
      </c>
      <c r="X58" s="5" t="b">
        <f>FALSE()</f>
        <v>0</v>
      </c>
      <c r="Y58" s="19">
        <v>0.15</v>
      </c>
    </row>
    <row r="59" spans="1:25" ht="15" customHeight="1" x14ac:dyDescent="0.3">
      <c r="A59" s="5" t="s">
        <v>1131</v>
      </c>
      <c r="B59" s="5" t="s">
        <v>421</v>
      </c>
      <c r="C59" s="5" t="s">
        <v>440</v>
      </c>
      <c r="D59" s="5" t="s">
        <v>423</v>
      </c>
      <c r="E59" s="5" t="s">
        <v>976</v>
      </c>
      <c r="F59" s="18">
        <v>0.45</v>
      </c>
      <c r="G59" s="18">
        <v>0.35</v>
      </c>
      <c r="H59" s="19">
        <v>0.214</v>
      </c>
      <c r="I59" s="18">
        <v>875</v>
      </c>
      <c r="J59" s="5" t="s">
        <v>412</v>
      </c>
      <c r="K59" s="5">
        <v>93</v>
      </c>
      <c r="L59" s="5">
        <v>1</v>
      </c>
      <c r="M59" s="5"/>
      <c r="N59" s="5"/>
      <c r="O59" s="5" t="s">
        <v>1132</v>
      </c>
      <c r="P59" s="5" t="s">
        <v>972</v>
      </c>
      <c r="Q59" s="18">
        <v>1032592</v>
      </c>
      <c r="R59" s="5" t="s">
        <v>1133</v>
      </c>
      <c r="S59" s="5" t="s">
        <v>967</v>
      </c>
      <c r="T59" s="19">
        <v>0.20699999999999999</v>
      </c>
      <c r="U59" s="19">
        <v>0.20399999999999999</v>
      </c>
      <c r="V59" s="5" t="s">
        <v>974</v>
      </c>
      <c r="W59" s="5">
        <v>2</v>
      </c>
      <c r="X59" s="5" t="b">
        <f>FALSE()</f>
        <v>0</v>
      </c>
      <c r="Y59" s="19">
        <v>0.15</v>
      </c>
    </row>
    <row r="60" spans="1:25" ht="15" customHeight="1" x14ac:dyDescent="0.3">
      <c r="A60" s="5" t="s">
        <v>1134</v>
      </c>
      <c r="B60" s="5" t="s">
        <v>575</v>
      </c>
      <c r="C60" s="5" t="s">
        <v>521</v>
      </c>
      <c r="D60" s="5" t="s">
        <v>410</v>
      </c>
      <c r="E60" s="5" t="s">
        <v>962</v>
      </c>
      <c r="F60" s="18">
        <v>12.75</v>
      </c>
      <c r="G60" s="18">
        <v>10.52</v>
      </c>
      <c r="H60" s="19">
        <v>0.17499999999999999</v>
      </c>
      <c r="I60" s="18">
        <v>52600</v>
      </c>
      <c r="J60" s="5" t="s">
        <v>412</v>
      </c>
      <c r="K60" s="5">
        <v>93</v>
      </c>
      <c r="L60" s="5">
        <v>3</v>
      </c>
      <c r="M60" s="5" t="s">
        <v>1088</v>
      </c>
      <c r="N60" s="5"/>
      <c r="O60" s="5" t="s">
        <v>1135</v>
      </c>
      <c r="P60" s="5" t="s">
        <v>978</v>
      </c>
      <c r="Q60" s="18">
        <v>1069323</v>
      </c>
      <c r="R60" s="5" t="s">
        <v>1136</v>
      </c>
      <c r="S60" s="5" t="s">
        <v>967</v>
      </c>
      <c r="T60" s="19">
        <v>0.11</v>
      </c>
      <c r="U60" s="19">
        <v>7.6999999999999999E-2</v>
      </c>
      <c r="V60" s="5" t="s">
        <v>1035</v>
      </c>
      <c r="W60" s="5">
        <v>1</v>
      </c>
      <c r="X60" s="5" t="b">
        <f>TRUE()</f>
        <v>1</v>
      </c>
      <c r="Y60" s="19">
        <v>0.2</v>
      </c>
    </row>
    <row r="61" spans="1:25" ht="15" customHeight="1" x14ac:dyDescent="0.3">
      <c r="A61" s="5" t="s">
        <v>1137</v>
      </c>
      <c r="B61" s="5" t="s">
        <v>485</v>
      </c>
      <c r="C61" s="5" t="s">
        <v>422</v>
      </c>
      <c r="D61" s="5" t="s">
        <v>423</v>
      </c>
      <c r="E61" s="5" t="s">
        <v>976</v>
      </c>
      <c r="F61" s="18">
        <v>3.2</v>
      </c>
      <c r="G61" s="18">
        <v>3.15</v>
      </c>
      <c r="H61" s="19">
        <v>1.7000000000000001E-2</v>
      </c>
      <c r="I61" s="18">
        <v>7875</v>
      </c>
      <c r="J61" s="5" t="s">
        <v>444</v>
      </c>
      <c r="K61" s="5">
        <v>103</v>
      </c>
      <c r="L61" s="5">
        <v>1</v>
      </c>
      <c r="M61" s="5"/>
      <c r="N61" s="5"/>
      <c r="O61" s="5" t="s">
        <v>704</v>
      </c>
      <c r="P61" s="5" t="s">
        <v>965</v>
      </c>
      <c r="Q61" s="18">
        <v>335535</v>
      </c>
      <c r="R61" s="5" t="s">
        <v>1138</v>
      </c>
      <c r="S61" s="5" t="s">
        <v>967</v>
      </c>
      <c r="T61" s="19">
        <v>0.28599999999999998</v>
      </c>
      <c r="U61" s="19">
        <v>0.22900000000000001</v>
      </c>
      <c r="V61" s="5" t="s">
        <v>1035</v>
      </c>
      <c r="W61" s="5">
        <v>8</v>
      </c>
      <c r="X61" s="5" t="b">
        <f>FALSE()</f>
        <v>0</v>
      </c>
      <c r="Y61" s="19">
        <v>0.1</v>
      </c>
    </row>
    <row r="62" spans="1:25" ht="15" customHeight="1" x14ac:dyDescent="0.3">
      <c r="A62" s="5" t="s">
        <v>1139</v>
      </c>
      <c r="B62" s="5" t="s">
        <v>485</v>
      </c>
      <c r="C62" s="5" t="s">
        <v>431</v>
      </c>
      <c r="D62" s="5" t="s">
        <v>423</v>
      </c>
      <c r="E62" s="5" t="s">
        <v>962</v>
      </c>
      <c r="F62" s="18">
        <v>42</v>
      </c>
      <c r="G62" s="18">
        <v>41.58</v>
      </c>
      <c r="H62" s="19">
        <v>0.01</v>
      </c>
      <c r="I62" s="18">
        <v>207900</v>
      </c>
      <c r="J62" s="5" t="s">
        <v>444</v>
      </c>
      <c r="K62" s="5">
        <v>20</v>
      </c>
      <c r="L62" s="5">
        <v>2</v>
      </c>
      <c r="M62" s="5" t="s">
        <v>963</v>
      </c>
      <c r="N62" s="5" t="s">
        <v>1023</v>
      </c>
      <c r="O62" s="5" t="s">
        <v>1020</v>
      </c>
      <c r="P62" s="5" t="s">
        <v>982</v>
      </c>
      <c r="Q62" s="18">
        <v>513311</v>
      </c>
      <c r="R62" s="5" t="s">
        <v>1140</v>
      </c>
      <c r="S62" s="5" t="s">
        <v>967</v>
      </c>
      <c r="T62" s="19">
        <v>6.7000000000000004E-2</v>
      </c>
      <c r="U62" s="19">
        <v>6.5000000000000002E-2</v>
      </c>
      <c r="V62" s="5" t="s">
        <v>968</v>
      </c>
      <c r="W62" s="5">
        <v>3</v>
      </c>
      <c r="X62" s="5" t="b">
        <f>FALSE()</f>
        <v>0</v>
      </c>
      <c r="Y62" s="19">
        <v>0.2</v>
      </c>
    </row>
    <row r="63" spans="1:25" ht="15" customHeight="1" x14ac:dyDescent="0.3">
      <c r="A63" s="5" t="s">
        <v>1141</v>
      </c>
      <c r="B63" s="5" t="s">
        <v>479</v>
      </c>
      <c r="C63" s="5" t="s">
        <v>409</v>
      </c>
      <c r="D63" s="5" t="s">
        <v>475</v>
      </c>
      <c r="E63" s="5" t="s">
        <v>976</v>
      </c>
      <c r="F63" s="18">
        <v>8.5</v>
      </c>
      <c r="G63" s="18">
        <v>6.06</v>
      </c>
      <c r="H63" s="19">
        <v>0.28699999999999998</v>
      </c>
      <c r="I63" s="18">
        <v>15150</v>
      </c>
      <c r="J63" s="5" t="s">
        <v>444</v>
      </c>
      <c r="K63" s="5">
        <v>77</v>
      </c>
      <c r="L63" s="5">
        <v>0</v>
      </c>
      <c r="M63" s="5"/>
      <c r="N63" s="5"/>
      <c r="O63" s="5" t="s">
        <v>1142</v>
      </c>
      <c r="P63" s="5" t="s">
        <v>965</v>
      </c>
      <c r="Q63" s="18">
        <v>446020</v>
      </c>
      <c r="R63" s="5" t="s">
        <v>1143</v>
      </c>
      <c r="S63" s="5" t="s">
        <v>967</v>
      </c>
      <c r="T63" s="19">
        <v>0.113</v>
      </c>
      <c r="U63" s="19">
        <v>0.107</v>
      </c>
      <c r="V63" s="5" t="s">
        <v>985</v>
      </c>
      <c r="W63" s="5">
        <v>7</v>
      </c>
      <c r="X63" s="5" t="b">
        <f>TRUE()</f>
        <v>1</v>
      </c>
      <c r="Y63" s="19">
        <v>0.15</v>
      </c>
    </row>
  </sheetData>
  <mergeCells count="1">
    <mergeCell ref="A1:Y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P18"/>
  <sheetViews>
    <sheetView zoomScaleNormal="100" workbookViewId="0">
      <selection activeCell="J16" sqref="J16"/>
    </sheetView>
  </sheetViews>
  <sheetFormatPr defaultColWidth="8.6640625" defaultRowHeight="15" customHeight="1" x14ac:dyDescent="0.3"/>
  <cols>
    <col min="1" max="12" width="20" customWidth="1"/>
    <col min="13" max="16" width="22" customWidth="1"/>
  </cols>
  <sheetData>
    <row r="1" spans="1:16" ht="17.25" customHeight="1" x14ac:dyDescent="0.3">
      <c r="A1" s="2" t="s">
        <v>1144</v>
      </c>
      <c r="B1" s="2"/>
      <c r="C1" s="2"/>
      <c r="D1" s="2"/>
      <c r="E1" s="2"/>
      <c r="F1" s="2"/>
      <c r="G1" s="2"/>
      <c r="H1" s="2"/>
      <c r="I1" s="2"/>
      <c r="J1" s="2"/>
      <c r="K1" s="2"/>
      <c r="L1" s="2"/>
    </row>
    <row r="3" spans="1:16" ht="26.25" customHeight="1" x14ac:dyDescent="0.3">
      <c r="A3" s="12" t="s">
        <v>400</v>
      </c>
      <c r="B3" s="12" t="s">
        <v>377</v>
      </c>
      <c r="C3" s="12" t="s">
        <v>399</v>
      </c>
      <c r="D3" s="12" t="s">
        <v>1145</v>
      </c>
      <c r="E3" s="12" t="s">
        <v>1146</v>
      </c>
      <c r="F3" s="12" t="s">
        <v>1147</v>
      </c>
      <c r="G3" s="12" t="s">
        <v>1148</v>
      </c>
      <c r="H3" s="12" t="s">
        <v>1149</v>
      </c>
      <c r="I3" s="12" t="s">
        <v>403</v>
      </c>
      <c r="J3" s="12" t="s">
        <v>1150</v>
      </c>
      <c r="K3" s="12" t="s">
        <v>1151</v>
      </c>
      <c r="L3" s="12" t="s">
        <v>1152</v>
      </c>
      <c r="M3" s="4" t="s">
        <v>1153</v>
      </c>
      <c r="N3" s="4" t="s">
        <v>1154</v>
      </c>
      <c r="O3" s="4" t="s">
        <v>1155</v>
      </c>
      <c r="P3" s="4" t="s">
        <v>1156</v>
      </c>
    </row>
    <row r="4" spans="1:16" ht="15" customHeight="1" x14ac:dyDescent="0.3">
      <c r="A4" s="5" t="s">
        <v>469</v>
      </c>
      <c r="B4" s="5" t="s">
        <v>531</v>
      </c>
      <c r="C4" s="5" t="s">
        <v>489</v>
      </c>
      <c r="D4" s="5" t="s">
        <v>1157</v>
      </c>
      <c r="E4" s="5" t="s">
        <v>1158</v>
      </c>
      <c r="F4" s="17">
        <v>25000</v>
      </c>
      <c r="G4" s="19">
        <v>0.16600000000000001</v>
      </c>
      <c r="H4" s="5" t="s">
        <v>1159</v>
      </c>
      <c r="I4" s="5" t="s">
        <v>418</v>
      </c>
      <c r="J4" s="5" t="b">
        <f>FALSE()</f>
        <v>0</v>
      </c>
      <c r="K4" s="5" t="s">
        <v>1160</v>
      </c>
      <c r="L4" s="17">
        <v>94477</v>
      </c>
      <c r="M4" s="18">
        <v>22.39</v>
      </c>
      <c r="N4" s="5" t="s">
        <v>427</v>
      </c>
      <c r="O4" s="5">
        <v>41</v>
      </c>
      <c r="P4" s="19">
        <v>0.76</v>
      </c>
    </row>
    <row r="5" spans="1:16" ht="15" customHeight="1" x14ac:dyDescent="0.3">
      <c r="A5" s="5" t="s">
        <v>457</v>
      </c>
      <c r="B5" s="5" t="s">
        <v>485</v>
      </c>
      <c r="C5" s="5" t="s">
        <v>489</v>
      </c>
      <c r="D5" s="5" t="s">
        <v>1161</v>
      </c>
      <c r="E5" s="5" t="s">
        <v>1162</v>
      </c>
      <c r="F5" s="17">
        <v>10000</v>
      </c>
      <c r="G5" s="19">
        <v>0.107</v>
      </c>
      <c r="H5" s="5" t="s">
        <v>1163</v>
      </c>
      <c r="I5" s="5" t="s">
        <v>418</v>
      </c>
      <c r="J5" s="5" t="b">
        <f>FALSE()</f>
        <v>0</v>
      </c>
      <c r="K5" s="5" t="s">
        <v>1160</v>
      </c>
      <c r="L5" s="17">
        <v>26093</v>
      </c>
      <c r="M5" s="18">
        <v>17.920000000000002</v>
      </c>
      <c r="N5" s="5" t="s">
        <v>418</v>
      </c>
      <c r="O5" s="5">
        <v>35</v>
      </c>
      <c r="P5" s="19">
        <v>0.86</v>
      </c>
    </row>
    <row r="6" spans="1:16" ht="15" customHeight="1" x14ac:dyDescent="0.3">
      <c r="A6" s="5" t="s">
        <v>476</v>
      </c>
      <c r="B6" s="5" t="s">
        <v>479</v>
      </c>
      <c r="C6" s="5" t="s">
        <v>1164</v>
      </c>
      <c r="D6" s="5" t="s">
        <v>1165</v>
      </c>
      <c r="E6" s="5" t="s">
        <v>1166</v>
      </c>
      <c r="F6" s="17">
        <v>100000</v>
      </c>
      <c r="G6" s="19">
        <v>0.156</v>
      </c>
      <c r="H6" s="5" t="s">
        <v>1159</v>
      </c>
      <c r="I6" s="5" t="s">
        <v>482</v>
      </c>
      <c r="J6" s="5" t="b">
        <f>TRUE()</f>
        <v>1</v>
      </c>
      <c r="K6" s="5" t="s">
        <v>1167</v>
      </c>
      <c r="L6" s="17">
        <v>83234</v>
      </c>
      <c r="M6" s="18">
        <v>5.0999999999999996</v>
      </c>
      <c r="N6" s="5" t="s">
        <v>482</v>
      </c>
      <c r="O6" s="5">
        <v>66</v>
      </c>
      <c r="P6" s="19">
        <v>0.66</v>
      </c>
    </row>
    <row r="7" spans="1:16" ht="15" customHeight="1" x14ac:dyDescent="0.3">
      <c r="A7" s="5" t="s">
        <v>446</v>
      </c>
      <c r="B7" s="5" t="s">
        <v>485</v>
      </c>
      <c r="C7" s="5" t="s">
        <v>1164</v>
      </c>
      <c r="D7" s="5" t="s">
        <v>1168</v>
      </c>
      <c r="E7" s="5" t="s">
        <v>1169</v>
      </c>
      <c r="F7" s="17">
        <v>50000</v>
      </c>
      <c r="G7" s="19">
        <v>6.0999999999999999E-2</v>
      </c>
      <c r="H7" s="5" t="s">
        <v>1167</v>
      </c>
      <c r="I7" s="5" t="s">
        <v>418</v>
      </c>
      <c r="J7" s="5" t="b">
        <f>TRUE()</f>
        <v>1</v>
      </c>
      <c r="K7" s="5" t="s">
        <v>1160</v>
      </c>
      <c r="L7" s="17">
        <v>73236</v>
      </c>
      <c r="M7" s="18">
        <v>24.31</v>
      </c>
      <c r="N7" s="5" t="s">
        <v>427</v>
      </c>
      <c r="O7" s="5">
        <v>58</v>
      </c>
      <c r="P7" s="19">
        <v>0.71</v>
      </c>
    </row>
    <row r="8" spans="1:16" ht="15" customHeight="1" x14ac:dyDescent="0.3">
      <c r="A8" s="5" t="s">
        <v>496</v>
      </c>
      <c r="B8" s="5" t="s">
        <v>485</v>
      </c>
      <c r="C8" s="5" t="s">
        <v>1164</v>
      </c>
      <c r="D8" s="5" t="s">
        <v>1170</v>
      </c>
      <c r="E8" s="5" t="s">
        <v>1171</v>
      </c>
      <c r="F8" s="17">
        <v>100000</v>
      </c>
      <c r="G8" s="19">
        <v>6.4000000000000001E-2</v>
      </c>
      <c r="H8" s="5" t="s">
        <v>1159</v>
      </c>
      <c r="I8" s="5" t="s">
        <v>482</v>
      </c>
      <c r="J8" s="5" t="b">
        <f>FALSE()</f>
        <v>0</v>
      </c>
      <c r="K8" s="5" t="s">
        <v>1167</v>
      </c>
      <c r="L8" s="17">
        <v>52290</v>
      </c>
      <c r="M8" s="18">
        <v>20.09</v>
      </c>
      <c r="N8" s="5" t="s">
        <v>482</v>
      </c>
      <c r="O8" s="5">
        <v>68</v>
      </c>
      <c r="P8" s="19">
        <v>0.87</v>
      </c>
    </row>
    <row r="9" spans="1:16" ht="15" customHeight="1" x14ac:dyDescent="0.3">
      <c r="A9" s="5" t="s">
        <v>461</v>
      </c>
      <c r="B9" s="5" t="s">
        <v>454</v>
      </c>
      <c r="C9" s="5" t="s">
        <v>489</v>
      </c>
      <c r="D9" s="5" t="s">
        <v>1172</v>
      </c>
      <c r="E9" s="5" t="s">
        <v>1173</v>
      </c>
      <c r="F9" s="17">
        <v>10000</v>
      </c>
      <c r="G9" s="19">
        <v>6.7000000000000004E-2</v>
      </c>
      <c r="H9" s="5" t="s">
        <v>1163</v>
      </c>
      <c r="I9" s="5" t="s">
        <v>418</v>
      </c>
      <c r="J9" s="5" t="b">
        <f>TRUE()</f>
        <v>1</v>
      </c>
      <c r="K9" s="5" t="s">
        <v>1160</v>
      </c>
      <c r="L9" s="17">
        <v>10226</v>
      </c>
      <c r="M9" s="18">
        <v>33.11</v>
      </c>
      <c r="N9" s="5" t="s">
        <v>418</v>
      </c>
      <c r="O9" s="5">
        <v>57</v>
      </c>
      <c r="P9" s="19">
        <v>0.82</v>
      </c>
    </row>
    <row r="10" spans="1:16" ht="15" customHeight="1" x14ac:dyDescent="0.3">
      <c r="A10" s="5" t="s">
        <v>638</v>
      </c>
      <c r="B10" s="5" t="s">
        <v>575</v>
      </c>
      <c r="C10" s="5" t="s">
        <v>1163</v>
      </c>
      <c r="D10" s="5" t="s">
        <v>1174</v>
      </c>
      <c r="E10" s="5" t="s">
        <v>1175</v>
      </c>
      <c r="F10" s="17">
        <v>100000</v>
      </c>
      <c r="G10" s="19">
        <v>8.7999999999999995E-2</v>
      </c>
      <c r="H10" s="5" t="s">
        <v>1167</v>
      </c>
      <c r="I10" s="5" t="s">
        <v>418</v>
      </c>
      <c r="J10" s="5" t="b">
        <f>TRUE()</f>
        <v>1</v>
      </c>
      <c r="K10" s="5" t="s">
        <v>1167</v>
      </c>
      <c r="L10" s="17">
        <v>72411</v>
      </c>
      <c r="M10" s="18">
        <v>34.299999999999997</v>
      </c>
      <c r="N10" s="5" t="s">
        <v>427</v>
      </c>
      <c r="O10" s="5">
        <v>59</v>
      </c>
      <c r="P10" s="19">
        <v>0.56000000000000005</v>
      </c>
    </row>
    <row r="11" spans="1:16" ht="15" customHeight="1" x14ac:dyDescent="0.3">
      <c r="A11" s="5" t="s">
        <v>700</v>
      </c>
      <c r="B11" s="5" t="s">
        <v>479</v>
      </c>
      <c r="C11" s="5" t="s">
        <v>1163</v>
      </c>
      <c r="D11" s="5" t="s">
        <v>1176</v>
      </c>
      <c r="E11" s="5" t="s">
        <v>1177</v>
      </c>
      <c r="F11" s="17">
        <v>50000</v>
      </c>
      <c r="G11" s="19">
        <v>0.185</v>
      </c>
      <c r="H11" s="5" t="s">
        <v>1159</v>
      </c>
      <c r="I11" s="5" t="s">
        <v>418</v>
      </c>
      <c r="J11" s="5" t="b">
        <f>TRUE()</f>
        <v>1</v>
      </c>
      <c r="K11" s="5" t="s">
        <v>1178</v>
      </c>
      <c r="L11" s="17">
        <v>26940</v>
      </c>
      <c r="M11" s="18">
        <v>7.22</v>
      </c>
      <c r="N11" s="5" t="s">
        <v>482</v>
      </c>
      <c r="O11" s="5">
        <v>29</v>
      </c>
      <c r="P11" s="19">
        <v>0.91</v>
      </c>
    </row>
    <row r="12" spans="1:16" ht="15" customHeight="1" x14ac:dyDescent="0.3">
      <c r="A12" s="5" t="s">
        <v>416</v>
      </c>
      <c r="B12" s="5" t="s">
        <v>479</v>
      </c>
      <c r="C12" s="5" t="s">
        <v>489</v>
      </c>
      <c r="D12" s="5" t="s">
        <v>1179</v>
      </c>
      <c r="E12" s="5" t="s">
        <v>1180</v>
      </c>
      <c r="F12" s="17">
        <v>10000</v>
      </c>
      <c r="G12" s="19">
        <v>8.2000000000000003E-2</v>
      </c>
      <c r="H12" s="5" t="s">
        <v>1167</v>
      </c>
      <c r="I12" s="5" t="s">
        <v>482</v>
      </c>
      <c r="J12" s="5" t="b">
        <f>FALSE()</f>
        <v>0</v>
      </c>
      <c r="K12" s="5" t="s">
        <v>1178</v>
      </c>
      <c r="L12" s="17">
        <v>31945</v>
      </c>
      <c r="M12" s="18">
        <v>22.65</v>
      </c>
      <c r="N12" s="5" t="s">
        <v>482</v>
      </c>
      <c r="O12" s="5">
        <v>40</v>
      </c>
      <c r="P12" s="19">
        <v>1.1100000000000001</v>
      </c>
    </row>
    <row r="13" spans="1:16" ht="15" customHeight="1" x14ac:dyDescent="0.3">
      <c r="A13" s="5" t="s">
        <v>502</v>
      </c>
      <c r="B13" s="5" t="s">
        <v>479</v>
      </c>
      <c r="C13" s="5" t="s">
        <v>489</v>
      </c>
      <c r="D13" s="5" t="s">
        <v>1181</v>
      </c>
      <c r="E13" s="5" t="s">
        <v>540</v>
      </c>
      <c r="F13" s="17">
        <v>10000</v>
      </c>
      <c r="G13" s="19">
        <v>0.16200000000000001</v>
      </c>
      <c r="H13" s="5" t="s">
        <v>1159</v>
      </c>
      <c r="I13" s="5" t="s">
        <v>482</v>
      </c>
      <c r="J13" s="5" t="b">
        <f>FALSE()</f>
        <v>0</v>
      </c>
      <c r="K13" s="5" t="s">
        <v>1167</v>
      </c>
      <c r="L13" s="17">
        <v>9965</v>
      </c>
      <c r="M13" s="18">
        <v>15.24</v>
      </c>
      <c r="N13" s="5" t="s">
        <v>482</v>
      </c>
      <c r="O13" s="5">
        <v>40</v>
      </c>
      <c r="P13" s="19">
        <v>0.78</v>
      </c>
    </row>
    <row r="14" spans="1:16" ht="15" customHeight="1" x14ac:dyDescent="0.3">
      <c r="A14" s="5" t="s">
        <v>436</v>
      </c>
      <c r="B14" s="5" t="s">
        <v>485</v>
      </c>
      <c r="C14" s="5" t="s">
        <v>1163</v>
      </c>
      <c r="D14" s="5" t="s">
        <v>1182</v>
      </c>
      <c r="E14" s="5" t="s">
        <v>649</v>
      </c>
      <c r="F14" s="17">
        <v>50000</v>
      </c>
      <c r="G14" s="19">
        <v>0.13400000000000001</v>
      </c>
      <c r="H14" s="5" t="s">
        <v>1167</v>
      </c>
      <c r="I14" s="5" t="s">
        <v>482</v>
      </c>
      <c r="J14" s="5" t="b">
        <f>FALSE()</f>
        <v>0</v>
      </c>
      <c r="K14" s="5" t="s">
        <v>1183</v>
      </c>
      <c r="L14" s="17">
        <v>55860</v>
      </c>
      <c r="M14" s="18">
        <v>8.9600000000000009</v>
      </c>
      <c r="N14" s="5" t="s">
        <v>418</v>
      </c>
      <c r="O14" s="5">
        <v>58</v>
      </c>
      <c r="P14" s="19">
        <v>0.7</v>
      </c>
    </row>
    <row r="15" spans="1:16" ht="15" customHeight="1" x14ac:dyDescent="0.3">
      <c r="A15" s="5" t="s">
        <v>547</v>
      </c>
      <c r="B15" s="5" t="s">
        <v>531</v>
      </c>
      <c r="C15" s="5" t="s">
        <v>1164</v>
      </c>
      <c r="D15" s="5" t="s">
        <v>1184</v>
      </c>
      <c r="E15" s="5" t="s">
        <v>1185</v>
      </c>
      <c r="F15" s="17">
        <v>50000</v>
      </c>
      <c r="G15" s="19">
        <v>5.2999999999999999E-2</v>
      </c>
      <c r="H15" s="5" t="s">
        <v>1167</v>
      </c>
      <c r="I15" s="5" t="s">
        <v>482</v>
      </c>
      <c r="J15" s="5" t="b">
        <f>TRUE()</f>
        <v>1</v>
      </c>
      <c r="K15" s="5" t="s">
        <v>1178</v>
      </c>
      <c r="L15" s="17">
        <v>104085</v>
      </c>
      <c r="M15" s="18">
        <v>32.51</v>
      </c>
      <c r="N15" s="5" t="s">
        <v>427</v>
      </c>
      <c r="O15" s="5">
        <v>39</v>
      </c>
      <c r="P15" s="19">
        <v>1.1000000000000001</v>
      </c>
    </row>
    <row r="16" spans="1:16" ht="15" customHeight="1" x14ac:dyDescent="0.3">
      <c r="A16" s="5" t="s">
        <v>522</v>
      </c>
      <c r="B16" s="5" t="s">
        <v>575</v>
      </c>
      <c r="C16" s="5" t="s">
        <v>489</v>
      </c>
      <c r="D16" s="5" t="s">
        <v>1186</v>
      </c>
      <c r="E16" s="5" t="s">
        <v>1187</v>
      </c>
      <c r="F16" s="17">
        <v>10000</v>
      </c>
      <c r="G16" s="19">
        <v>0.104</v>
      </c>
      <c r="H16" s="5" t="s">
        <v>1167</v>
      </c>
      <c r="I16" s="5" t="s">
        <v>482</v>
      </c>
      <c r="J16" s="5" t="b">
        <f>FALSE()</f>
        <v>0</v>
      </c>
      <c r="K16" s="5" t="s">
        <v>1167</v>
      </c>
      <c r="L16" s="17">
        <v>84503</v>
      </c>
      <c r="M16" s="18">
        <v>7.73</v>
      </c>
      <c r="N16" s="5" t="s">
        <v>482</v>
      </c>
      <c r="O16" s="5">
        <v>68</v>
      </c>
      <c r="P16" s="19">
        <v>0.93</v>
      </c>
    </row>
    <row r="17" spans="1:16" ht="15" customHeight="1" x14ac:dyDescent="0.3">
      <c r="A17" s="5" t="s">
        <v>499</v>
      </c>
      <c r="B17" s="5" t="s">
        <v>485</v>
      </c>
      <c r="C17" s="5" t="s">
        <v>1164</v>
      </c>
      <c r="D17" s="5" t="s">
        <v>1188</v>
      </c>
      <c r="E17" s="5" t="s">
        <v>669</v>
      </c>
      <c r="F17" s="17">
        <v>100000</v>
      </c>
      <c r="G17" s="19">
        <v>0.17299999999999999</v>
      </c>
      <c r="H17" s="5" t="s">
        <v>1159</v>
      </c>
      <c r="I17" s="5" t="s">
        <v>418</v>
      </c>
      <c r="J17" s="5" t="b">
        <f>TRUE()</f>
        <v>1</v>
      </c>
      <c r="K17" s="5" t="s">
        <v>1160</v>
      </c>
      <c r="L17" s="17">
        <v>22875</v>
      </c>
      <c r="M17" s="18">
        <v>20.059999999999999</v>
      </c>
      <c r="N17" s="5" t="s">
        <v>482</v>
      </c>
      <c r="O17" s="5">
        <v>70</v>
      </c>
      <c r="P17" s="19">
        <v>0.62</v>
      </c>
    </row>
    <row r="18" spans="1:16" ht="15" customHeight="1" x14ac:dyDescent="0.3">
      <c r="A18" s="5" t="s">
        <v>486</v>
      </c>
      <c r="B18" s="5" t="s">
        <v>575</v>
      </c>
      <c r="C18" s="5" t="s">
        <v>489</v>
      </c>
      <c r="D18" s="5" t="s">
        <v>1189</v>
      </c>
      <c r="E18" s="5" t="s">
        <v>757</v>
      </c>
      <c r="F18" s="17">
        <v>25000</v>
      </c>
      <c r="G18" s="19">
        <v>9.5000000000000001E-2</v>
      </c>
      <c r="H18" s="5" t="s">
        <v>1167</v>
      </c>
      <c r="I18" s="5" t="s">
        <v>427</v>
      </c>
      <c r="J18" s="5" t="b">
        <f>FALSE()</f>
        <v>0</v>
      </c>
      <c r="K18" s="5" t="s">
        <v>1178</v>
      </c>
      <c r="L18" s="17">
        <v>77551</v>
      </c>
      <c r="M18" s="18">
        <v>11.98</v>
      </c>
      <c r="N18" s="5" t="s">
        <v>427</v>
      </c>
      <c r="O18" s="5">
        <v>51</v>
      </c>
      <c r="P18" s="19">
        <v>1.0900000000000001</v>
      </c>
    </row>
  </sheetData>
  <mergeCells count="1">
    <mergeCell ref="A1:L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00"/>
  </sheetPr>
  <dimension ref="A1:P8"/>
  <sheetViews>
    <sheetView zoomScaleNormal="100" workbookViewId="0">
      <selection sqref="A1:J1"/>
    </sheetView>
  </sheetViews>
  <sheetFormatPr defaultColWidth="8.6640625" defaultRowHeight="15" customHeight="1" x14ac:dyDescent="0.3"/>
  <cols>
    <col min="1" max="16" width="22" customWidth="1"/>
  </cols>
  <sheetData>
    <row r="1" spans="1:16" ht="17.25" customHeight="1" x14ac:dyDescent="0.3">
      <c r="A1" s="2" t="s">
        <v>1190</v>
      </c>
      <c r="B1" s="2"/>
      <c r="C1" s="2"/>
      <c r="D1" s="2"/>
      <c r="E1" s="2"/>
      <c r="F1" s="2"/>
      <c r="G1" s="2"/>
      <c r="H1" s="2"/>
      <c r="I1" s="2"/>
      <c r="J1" s="2"/>
    </row>
    <row r="3" spans="1:16" ht="15" customHeight="1" x14ac:dyDescent="0.3">
      <c r="A3" s="12" t="s">
        <v>401</v>
      </c>
      <c r="B3" s="12" t="s">
        <v>1191</v>
      </c>
      <c r="C3" s="12" t="s">
        <v>1192</v>
      </c>
      <c r="D3" s="12" t="s">
        <v>1145</v>
      </c>
      <c r="E3" s="12" t="s">
        <v>1146</v>
      </c>
      <c r="F3" s="12" t="s">
        <v>944</v>
      </c>
      <c r="G3" s="12" t="s">
        <v>1193</v>
      </c>
      <c r="H3" s="12" t="s">
        <v>1194</v>
      </c>
      <c r="I3" s="12" t="s">
        <v>1195</v>
      </c>
      <c r="J3" s="12" t="s">
        <v>1196</v>
      </c>
      <c r="K3" s="4" t="s">
        <v>1197</v>
      </c>
      <c r="L3" s="4" t="s">
        <v>1198</v>
      </c>
      <c r="M3" s="4" t="s">
        <v>1199</v>
      </c>
      <c r="N3" s="4" t="s">
        <v>1200</v>
      </c>
      <c r="O3" s="4" t="s">
        <v>1201</v>
      </c>
      <c r="P3" s="4" t="s">
        <v>1202</v>
      </c>
    </row>
    <row r="4" spans="1:16" ht="15" customHeight="1" x14ac:dyDescent="0.3">
      <c r="A4" s="5" t="s">
        <v>437</v>
      </c>
      <c r="B4" s="5" t="s">
        <v>1203</v>
      </c>
      <c r="C4" s="5" t="s">
        <v>1204</v>
      </c>
      <c r="D4" s="5" t="s">
        <v>1205</v>
      </c>
      <c r="E4" s="5" t="s">
        <v>1206</v>
      </c>
      <c r="F4" s="19">
        <v>5.8000000000000003E-2</v>
      </c>
      <c r="G4" s="5" t="s">
        <v>1207</v>
      </c>
      <c r="H4" s="5" t="s">
        <v>1208</v>
      </c>
      <c r="I4" s="20">
        <v>75000</v>
      </c>
      <c r="J4" s="20">
        <v>48000</v>
      </c>
      <c r="K4" s="18">
        <v>22.12</v>
      </c>
      <c r="L4" s="18">
        <v>12.78</v>
      </c>
      <c r="M4" s="17">
        <v>3826</v>
      </c>
      <c r="N4" s="17">
        <v>21931</v>
      </c>
      <c r="O4" s="17">
        <v>12419</v>
      </c>
      <c r="P4" s="20">
        <v>96879</v>
      </c>
    </row>
    <row r="5" spans="1:16" ht="15" customHeight="1" x14ac:dyDescent="0.3">
      <c r="A5" s="5" t="s">
        <v>510</v>
      </c>
      <c r="B5" s="5" t="s">
        <v>1209</v>
      </c>
      <c r="C5" s="5" t="s">
        <v>1210</v>
      </c>
      <c r="D5" s="5" t="s">
        <v>481</v>
      </c>
      <c r="E5" s="5" t="s">
        <v>544</v>
      </c>
      <c r="F5" s="19">
        <v>0.13300000000000001</v>
      </c>
      <c r="G5" s="5" t="s">
        <v>444</v>
      </c>
      <c r="H5" s="5" t="s">
        <v>881</v>
      </c>
      <c r="I5" s="20">
        <v>50000</v>
      </c>
      <c r="J5" s="20">
        <v>48000</v>
      </c>
      <c r="K5" s="18">
        <v>6.24</v>
      </c>
      <c r="L5" s="18">
        <v>19.68</v>
      </c>
      <c r="M5" s="17">
        <v>2891</v>
      </c>
      <c r="N5" s="17">
        <v>4566</v>
      </c>
      <c r="O5" s="17">
        <v>14296</v>
      </c>
      <c r="P5" s="20">
        <v>17261</v>
      </c>
    </row>
    <row r="6" spans="1:16" ht="15" customHeight="1" x14ac:dyDescent="0.3">
      <c r="A6" s="5" t="s">
        <v>447</v>
      </c>
      <c r="B6" s="5" t="s">
        <v>1211</v>
      </c>
      <c r="C6" s="5" t="s">
        <v>1210</v>
      </c>
      <c r="D6" s="5" t="s">
        <v>1212</v>
      </c>
      <c r="E6" s="5" t="s">
        <v>1213</v>
      </c>
      <c r="F6" s="19">
        <v>7.2999999999999995E-2</v>
      </c>
      <c r="G6" s="5" t="s">
        <v>1214</v>
      </c>
      <c r="H6" s="5" t="s">
        <v>1215</v>
      </c>
      <c r="I6" s="20">
        <v>25000</v>
      </c>
      <c r="J6" s="20">
        <v>71000</v>
      </c>
      <c r="K6" s="18">
        <v>18.73</v>
      </c>
      <c r="L6" s="18">
        <v>28.9</v>
      </c>
      <c r="M6" s="17">
        <v>13630</v>
      </c>
      <c r="N6" s="17">
        <v>14438</v>
      </c>
      <c r="O6" s="17">
        <v>10026</v>
      </c>
      <c r="P6" s="20">
        <v>33474</v>
      </c>
    </row>
    <row r="7" spans="1:16" ht="15" customHeight="1" x14ac:dyDescent="0.3">
      <c r="A7" s="5" t="s">
        <v>466</v>
      </c>
      <c r="B7" s="5" t="s">
        <v>1216</v>
      </c>
      <c r="C7" s="5" t="s">
        <v>384</v>
      </c>
      <c r="D7" s="5" t="s">
        <v>1217</v>
      </c>
      <c r="E7" s="5" t="s">
        <v>805</v>
      </c>
      <c r="F7" s="19">
        <v>7.0000000000000007E-2</v>
      </c>
      <c r="G7" s="5" t="s">
        <v>1207</v>
      </c>
      <c r="H7" s="5" t="s">
        <v>1218</v>
      </c>
      <c r="I7" s="20">
        <v>75000</v>
      </c>
      <c r="J7" s="20">
        <v>48000</v>
      </c>
      <c r="K7" s="18">
        <v>10.71</v>
      </c>
      <c r="L7" s="18">
        <v>23.93</v>
      </c>
      <c r="M7" s="17">
        <v>9589</v>
      </c>
      <c r="N7" s="17">
        <v>2591</v>
      </c>
      <c r="O7" s="17">
        <v>19639</v>
      </c>
      <c r="P7" s="20">
        <v>38323</v>
      </c>
    </row>
    <row r="8" spans="1:16" ht="15" customHeight="1" x14ac:dyDescent="0.3">
      <c r="A8" s="5" t="s">
        <v>493</v>
      </c>
      <c r="B8" s="5" t="s">
        <v>1219</v>
      </c>
      <c r="C8" s="5" t="s">
        <v>1204</v>
      </c>
      <c r="D8" s="5" t="s">
        <v>1220</v>
      </c>
      <c r="E8" s="5" t="s">
        <v>1221</v>
      </c>
      <c r="F8" s="19">
        <v>0.107</v>
      </c>
      <c r="G8" s="5" t="s">
        <v>1214</v>
      </c>
      <c r="H8" s="5" t="s">
        <v>881</v>
      </c>
      <c r="I8" s="20">
        <v>75000</v>
      </c>
      <c r="J8" s="20">
        <v>95000</v>
      </c>
      <c r="K8" s="18">
        <v>14.75</v>
      </c>
      <c r="L8" s="18">
        <v>13.94</v>
      </c>
      <c r="M8" s="17">
        <v>6624</v>
      </c>
      <c r="N8" s="17">
        <v>13758</v>
      </c>
      <c r="O8" s="17">
        <v>7027</v>
      </c>
      <c r="P8" s="20">
        <v>80177</v>
      </c>
    </row>
  </sheetData>
  <mergeCells count="1">
    <mergeCell ref="A1:J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J13"/>
  <sheetViews>
    <sheetView zoomScaleNormal="100" workbookViewId="0">
      <selection sqref="A1:J1"/>
    </sheetView>
  </sheetViews>
  <sheetFormatPr defaultColWidth="8.6640625" defaultRowHeight="15" customHeight="1" x14ac:dyDescent="0.3"/>
  <cols>
    <col min="1" max="10" width="22" customWidth="1"/>
  </cols>
  <sheetData>
    <row r="1" spans="1:10" ht="17.25" customHeight="1" x14ac:dyDescent="0.3">
      <c r="A1" s="2" t="s">
        <v>1222</v>
      </c>
      <c r="B1" s="2"/>
      <c r="C1" s="2"/>
      <c r="D1" s="2"/>
      <c r="E1" s="2"/>
      <c r="F1" s="2"/>
      <c r="G1" s="2"/>
      <c r="H1" s="2"/>
      <c r="I1" s="2"/>
      <c r="J1" s="2"/>
    </row>
    <row r="3" spans="1:10" ht="26.25" customHeight="1" x14ac:dyDescent="0.3">
      <c r="A3" s="12" t="s">
        <v>377</v>
      </c>
      <c r="B3" s="12" t="s">
        <v>840</v>
      </c>
      <c r="C3" s="12" t="s">
        <v>1223</v>
      </c>
      <c r="D3" s="12" t="s">
        <v>1224</v>
      </c>
      <c r="E3" s="12" t="s">
        <v>1225</v>
      </c>
      <c r="F3" s="12" t="s">
        <v>1226</v>
      </c>
      <c r="G3" s="12" t="s">
        <v>1227</v>
      </c>
      <c r="H3" s="12" t="s">
        <v>1228</v>
      </c>
      <c r="I3" s="12" t="s">
        <v>1229</v>
      </c>
      <c r="J3" s="12" t="s">
        <v>1230</v>
      </c>
    </row>
    <row r="4" spans="1:10" ht="15" customHeight="1" x14ac:dyDescent="0.3">
      <c r="A4" s="5" t="s">
        <v>485</v>
      </c>
      <c r="B4" s="5" t="s">
        <v>846</v>
      </c>
      <c r="C4" s="18">
        <v>12364.86</v>
      </c>
      <c r="D4" s="18">
        <v>26571.99</v>
      </c>
      <c r="E4" s="18">
        <v>4585.13</v>
      </c>
      <c r="F4" s="18">
        <v>4881.2700000000004</v>
      </c>
      <c r="G4" s="18">
        <v>32622.080000000002</v>
      </c>
      <c r="H4" s="18">
        <v>4280.4399999999996</v>
      </c>
      <c r="I4" s="18">
        <f t="shared" ref="I4:I13" si="0">SUM(C4:H4)</f>
        <v>85305.77</v>
      </c>
      <c r="J4" s="5" t="s">
        <v>1231</v>
      </c>
    </row>
    <row r="5" spans="1:10" ht="15" customHeight="1" x14ac:dyDescent="0.3">
      <c r="A5" s="5" t="s">
        <v>408</v>
      </c>
      <c r="B5" s="5" t="s">
        <v>848</v>
      </c>
      <c r="C5" s="18">
        <v>9275.66</v>
      </c>
      <c r="D5" s="18">
        <v>19990.759999999998</v>
      </c>
      <c r="E5" s="18">
        <v>72.48</v>
      </c>
      <c r="F5" s="18">
        <v>2346.31</v>
      </c>
      <c r="G5" s="18">
        <v>18861.03</v>
      </c>
      <c r="H5" s="18">
        <v>7658.35</v>
      </c>
      <c r="I5" s="18">
        <f t="shared" si="0"/>
        <v>58204.59</v>
      </c>
      <c r="J5" s="5" t="s">
        <v>1231</v>
      </c>
    </row>
    <row r="6" spans="1:10" ht="15" customHeight="1" x14ac:dyDescent="0.3">
      <c r="A6" s="5" t="s">
        <v>454</v>
      </c>
      <c r="B6" s="5" t="s">
        <v>850</v>
      </c>
      <c r="C6" s="18">
        <v>12030.85</v>
      </c>
      <c r="D6" s="18">
        <v>34403.85</v>
      </c>
      <c r="E6" s="18">
        <v>2014.59</v>
      </c>
      <c r="F6" s="18">
        <v>5997.3</v>
      </c>
      <c r="G6" s="18">
        <v>45115.43</v>
      </c>
      <c r="H6" s="18">
        <v>5165.6400000000003</v>
      </c>
      <c r="I6" s="18">
        <f t="shared" si="0"/>
        <v>104727.65999999999</v>
      </c>
      <c r="J6" s="5" t="s">
        <v>1231</v>
      </c>
    </row>
    <row r="7" spans="1:10" ht="15" customHeight="1" x14ac:dyDescent="0.3">
      <c r="A7" s="5" t="s">
        <v>531</v>
      </c>
      <c r="B7" s="5" t="s">
        <v>851</v>
      </c>
      <c r="C7" s="18">
        <v>10251.06</v>
      </c>
      <c r="D7" s="18">
        <v>15691.51</v>
      </c>
      <c r="E7" s="18">
        <v>8275.08</v>
      </c>
      <c r="F7" s="18">
        <v>1818.28</v>
      </c>
      <c r="G7" s="18">
        <v>34265.11</v>
      </c>
      <c r="H7" s="18">
        <v>8576.14</v>
      </c>
      <c r="I7" s="18">
        <f t="shared" si="0"/>
        <v>78877.180000000008</v>
      </c>
      <c r="J7" s="5" t="s">
        <v>1231</v>
      </c>
    </row>
    <row r="8" spans="1:10" ht="15" customHeight="1" x14ac:dyDescent="0.3">
      <c r="A8" s="5" t="s">
        <v>479</v>
      </c>
      <c r="B8" s="5" t="s">
        <v>852</v>
      </c>
      <c r="C8" s="18">
        <v>21750.41</v>
      </c>
      <c r="D8" s="18">
        <v>9900.06</v>
      </c>
      <c r="E8" s="18">
        <v>8079.27</v>
      </c>
      <c r="F8" s="18">
        <v>2474.2600000000002</v>
      </c>
      <c r="G8" s="18">
        <v>45453.43</v>
      </c>
      <c r="H8" s="18">
        <v>1688.16</v>
      </c>
      <c r="I8" s="18">
        <f t="shared" si="0"/>
        <v>89345.590000000011</v>
      </c>
      <c r="J8" s="5" t="s">
        <v>1231</v>
      </c>
    </row>
    <row r="9" spans="1:10" ht="15" customHeight="1" x14ac:dyDescent="0.3">
      <c r="A9" s="5" t="s">
        <v>575</v>
      </c>
      <c r="B9" s="5" t="s">
        <v>853</v>
      </c>
      <c r="C9" s="18">
        <v>3734.2</v>
      </c>
      <c r="D9" s="18">
        <v>5652.06</v>
      </c>
      <c r="E9" s="18">
        <v>7607.67</v>
      </c>
      <c r="F9" s="18">
        <v>733.96</v>
      </c>
      <c r="G9" s="18">
        <v>33275.620000000003</v>
      </c>
      <c r="H9" s="18">
        <v>4646.21</v>
      </c>
      <c r="I9" s="18">
        <f t="shared" si="0"/>
        <v>55649.72</v>
      </c>
      <c r="J9" s="5" t="s">
        <v>1231</v>
      </c>
    </row>
    <row r="10" spans="1:10" ht="15" customHeight="1" x14ac:dyDescent="0.3">
      <c r="A10" s="5" t="s">
        <v>474</v>
      </c>
      <c r="B10" s="5" t="s">
        <v>855</v>
      </c>
      <c r="C10" s="18">
        <v>15570.84</v>
      </c>
      <c r="D10" s="18">
        <v>36720.629999999997</v>
      </c>
      <c r="E10" s="18">
        <v>8273.91</v>
      </c>
      <c r="F10" s="18">
        <v>4576.0200000000004</v>
      </c>
      <c r="G10" s="18">
        <v>49949.13</v>
      </c>
      <c r="H10" s="18">
        <v>5248.94</v>
      </c>
      <c r="I10" s="18">
        <f t="shared" si="0"/>
        <v>120339.47</v>
      </c>
      <c r="J10" s="5" t="s">
        <v>1231</v>
      </c>
    </row>
    <row r="11" spans="1:10" ht="15" customHeight="1" x14ac:dyDescent="0.3">
      <c r="A11" s="5" t="s">
        <v>443</v>
      </c>
      <c r="B11" s="5" t="s">
        <v>856</v>
      </c>
      <c r="C11" s="18">
        <v>19829.54</v>
      </c>
      <c r="D11" s="18">
        <v>17803.650000000001</v>
      </c>
      <c r="E11" s="18">
        <v>3349.6</v>
      </c>
      <c r="F11" s="18">
        <v>6291.09</v>
      </c>
      <c r="G11" s="18">
        <v>39329.07</v>
      </c>
      <c r="H11" s="18">
        <v>3618.99</v>
      </c>
      <c r="I11" s="18">
        <f t="shared" si="0"/>
        <v>90221.940000000017</v>
      </c>
      <c r="J11" s="5" t="s">
        <v>1231</v>
      </c>
    </row>
    <row r="12" spans="1:10" ht="15" customHeight="1" x14ac:dyDescent="0.3">
      <c r="A12" s="5" t="s">
        <v>421</v>
      </c>
      <c r="B12" s="5" t="s">
        <v>858</v>
      </c>
      <c r="C12" s="18">
        <v>12688.13</v>
      </c>
      <c r="D12" s="18">
        <v>22864.42</v>
      </c>
      <c r="E12" s="18">
        <v>5951.78</v>
      </c>
      <c r="F12" s="18">
        <v>4266.25</v>
      </c>
      <c r="G12" s="18">
        <v>36507.14</v>
      </c>
      <c r="H12" s="18">
        <v>8631.84</v>
      </c>
      <c r="I12" s="18">
        <f t="shared" si="0"/>
        <v>90909.56</v>
      </c>
      <c r="J12" s="5" t="s">
        <v>1231</v>
      </c>
    </row>
    <row r="13" spans="1:10" ht="15" customHeight="1" x14ac:dyDescent="0.3">
      <c r="A13" s="5" t="s">
        <v>430</v>
      </c>
      <c r="B13" s="5" t="s">
        <v>860</v>
      </c>
      <c r="C13" s="18">
        <v>20550.419999999998</v>
      </c>
      <c r="D13" s="18">
        <v>26491.26</v>
      </c>
      <c r="E13" s="18">
        <v>2487.65</v>
      </c>
      <c r="F13" s="18">
        <v>4356.03</v>
      </c>
      <c r="G13" s="18">
        <v>27848.82</v>
      </c>
      <c r="H13" s="18">
        <v>2612.31</v>
      </c>
      <c r="I13" s="18">
        <f t="shared" si="0"/>
        <v>84346.489999999991</v>
      </c>
      <c r="J13" s="5" t="s">
        <v>1231</v>
      </c>
    </row>
  </sheetData>
  <mergeCells count="1">
    <mergeCell ref="A1:J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K15"/>
  <sheetViews>
    <sheetView zoomScaleNormal="100" workbookViewId="0">
      <selection sqref="A1:K1"/>
    </sheetView>
  </sheetViews>
  <sheetFormatPr defaultColWidth="8.6640625" defaultRowHeight="15" customHeight="1" x14ac:dyDescent="0.3"/>
  <cols>
    <col min="1" max="11" width="22" customWidth="1"/>
  </cols>
  <sheetData>
    <row r="1" spans="1:11" ht="17.25" customHeight="1" x14ac:dyDescent="0.3">
      <c r="A1" s="2" t="s">
        <v>1232</v>
      </c>
      <c r="B1" s="2"/>
      <c r="C1" s="2"/>
      <c r="D1" s="2"/>
      <c r="E1" s="2"/>
      <c r="F1" s="2"/>
      <c r="G1" s="2"/>
      <c r="H1" s="2"/>
      <c r="I1" s="2"/>
      <c r="J1" s="2"/>
      <c r="K1" s="2"/>
    </row>
    <row r="3" spans="1:11" ht="15" customHeight="1" x14ac:dyDescent="0.3">
      <c r="A3" s="12" t="s">
        <v>1233</v>
      </c>
      <c r="B3" s="12" t="s">
        <v>1234</v>
      </c>
      <c r="C3" s="12" t="s">
        <v>1235</v>
      </c>
      <c r="D3" s="12" t="s">
        <v>1236</v>
      </c>
      <c r="E3" s="12" t="s">
        <v>1237</v>
      </c>
      <c r="F3" s="12" t="s">
        <v>1238</v>
      </c>
      <c r="G3" s="12" t="s">
        <v>1239</v>
      </c>
      <c r="H3" s="12" t="s">
        <v>1240</v>
      </c>
      <c r="I3" s="12" t="s">
        <v>1241</v>
      </c>
      <c r="J3" s="12" t="s">
        <v>1242</v>
      </c>
      <c r="K3" s="12" t="s">
        <v>1243</v>
      </c>
    </row>
    <row r="4" spans="1:11" ht="15" customHeight="1" x14ac:dyDescent="0.3">
      <c r="A4" s="5" t="s">
        <v>409</v>
      </c>
      <c r="B4" s="5" t="s">
        <v>872</v>
      </c>
      <c r="C4" s="5" t="s">
        <v>994</v>
      </c>
      <c r="D4" s="5" t="s">
        <v>1244</v>
      </c>
      <c r="E4" s="18">
        <v>9.1</v>
      </c>
      <c r="F4" s="5" t="s">
        <v>1245</v>
      </c>
      <c r="G4" s="5" t="s">
        <v>1246</v>
      </c>
      <c r="H4" s="5" t="s">
        <v>1247</v>
      </c>
      <c r="I4" s="5" t="s">
        <v>1248</v>
      </c>
      <c r="J4" s="5" t="s">
        <v>1249</v>
      </c>
      <c r="K4" s="5" t="s">
        <v>1250</v>
      </c>
    </row>
    <row r="5" spans="1:11" ht="15" customHeight="1" x14ac:dyDescent="0.3">
      <c r="A5" s="5" t="s">
        <v>409</v>
      </c>
      <c r="B5" s="5" t="s">
        <v>872</v>
      </c>
      <c r="C5" s="5" t="s">
        <v>1023</v>
      </c>
      <c r="D5" s="5" t="s">
        <v>1251</v>
      </c>
      <c r="E5" s="18">
        <v>7.82</v>
      </c>
      <c r="F5" s="5" t="s">
        <v>1245</v>
      </c>
      <c r="G5" s="5" t="s">
        <v>1246</v>
      </c>
      <c r="H5" s="5" t="s">
        <v>1247</v>
      </c>
      <c r="I5" s="5" t="s">
        <v>1248</v>
      </c>
      <c r="J5" s="5" t="s">
        <v>1252</v>
      </c>
      <c r="K5" s="5" t="s">
        <v>1253</v>
      </c>
    </row>
    <row r="6" spans="1:11" ht="15" customHeight="1" x14ac:dyDescent="0.3">
      <c r="A6" s="5" t="s">
        <v>521</v>
      </c>
      <c r="B6" s="5" t="s">
        <v>879</v>
      </c>
      <c r="C6" s="5" t="s">
        <v>1023</v>
      </c>
      <c r="D6" s="5" t="s">
        <v>1251</v>
      </c>
      <c r="E6" s="18">
        <v>12.32</v>
      </c>
      <c r="F6" s="5" t="s">
        <v>1245</v>
      </c>
      <c r="G6" s="5" t="s">
        <v>1254</v>
      </c>
      <c r="H6" s="5" t="s">
        <v>1247</v>
      </c>
      <c r="I6" s="5" t="s">
        <v>1248</v>
      </c>
      <c r="J6" s="5" t="s">
        <v>1255</v>
      </c>
      <c r="K6" s="5" t="s">
        <v>1250</v>
      </c>
    </row>
    <row r="7" spans="1:11" ht="15" customHeight="1" x14ac:dyDescent="0.3">
      <c r="A7" s="5" t="s">
        <v>521</v>
      </c>
      <c r="B7" s="5" t="s">
        <v>879</v>
      </c>
      <c r="C7" s="5" t="s">
        <v>1111</v>
      </c>
      <c r="D7" s="5" t="s">
        <v>1256</v>
      </c>
      <c r="E7" s="18">
        <v>11.23</v>
      </c>
      <c r="F7" s="5" t="s">
        <v>1257</v>
      </c>
      <c r="G7" s="5" t="s">
        <v>1246</v>
      </c>
      <c r="H7" s="5" t="s">
        <v>1258</v>
      </c>
      <c r="I7" s="5" t="s">
        <v>1248</v>
      </c>
      <c r="J7" s="5" t="s">
        <v>1259</v>
      </c>
      <c r="K7" s="5" t="s">
        <v>1253</v>
      </c>
    </row>
    <row r="8" spans="1:11" ht="15" customHeight="1" x14ac:dyDescent="0.3">
      <c r="A8" s="5" t="s">
        <v>451</v>
      </c>
      <c r="B8" s="5" t="s">
        <v>885</v>
      </c>
      <c r="C8" s="5" t="s">
        <v>994</v>
      </c>
      <c r="D8" s="5" t="s">
        <v>1244</v>
      </c>
      <c r="E8" s="18">
        <v>14.64</v>
      </c>
      <c r="F8" s="5" t="s">
        <v>1245</v>
      </c>
      <c r="G8" s="5" t="s">
        <v>1246</v>
      </c>
      <c r="H8" s="5" t="s">
        <v>1258</v>
      </c>
      <c r="I8" s="5" t="s">
        <v>1248</v>
      </c>
      <c r="J8" s="5" t="s">
        <v>1255</v>
      </c>
      <c r="K8" s="5" t="s">
        <v>1260</v>
      </c>
    </row>
    <row r="9" spans="1:11" ht="15" customHeight="1" x14ac:dyDescent="0.3">
      <c r="A9" s="5" t="s">
        <v>451</v>
      </c>
      <c r="B9" s="5" t="s">
        <v>885</v>
      </c>
      <c r="C9" s="5" t="s">
        <v>1023</v>
      </c>
      <c r="D9" s="5" t="s">
        <v>1251</v>
      </c>
      <c r="E9" s="18">
        <v>15.28</v>
      </c>
      <c r="F9" s="5" t="s">
        <v>1245</v>
      </c>
      <c r="G9" s="5" t="s">
        <v>1261</v>
      </c>
      <c r="H9" s="5" t="s">
        <v>1258</v>
      </c>
      <c r="I9" s="5" t="s">
        <v>1248</v>
      </c>
      <c r="J9" s="5" t="s">
        <v>1262</v>
      </c>
      <c r="K9" s="5" t="s">
        <v>1250</v>
      </c>
    </row>
    <row r="10" spans="1:11" ht="15" customHeight="1" x14ac:dyDescent="0.3">
      <c r="A10" s="5" t="s">
        <v>440</v>
      </c>
      <c r="B10" s="5" t="s">
        <v>891</v>
      </c>
      <c r="C10" s="5" t="s">
        <v>1111</v>
      </c>
      <c r="D10" s="5" t="s">
        <v>1256</v>
      </c>
      <c r="E10" s="18">
        <v>0.49</v>
      </c>
      <c r="F10" s="5" t="s">
        <v>1257</v>
      </c>
      <c r="G10" s="5" t="s">
        <v>1254</v>
      </c>
      <c r="H10" s="5" t="s">
        <v>1258</v>
      </c>
      <c r="I10" s="5" t="s">
        <v>1248</v>
      </c>
      <c r="J10" s="5" t="s">
        <v>1263</v>
      </c>
      <c r="K10" s="5" t="s">
        <v>1260</v>
      </c>
    </row>
    <row r="11" spans="1:11" ht="15" customHeight="1" x14ac:dyDescent="0.3">
      <c r="A11" s="5" t="s">
        <v>440</v>
      </c>
      <c r="B11" s="5" t="s">
        <v>891</v>
      </c>
      <c r="C11" s="5" t="s">
        <v>970</v>
      </c>
      <c r="D11" s="5" t="s">
        <v>1264</v>
      </c>
      <c r="E11" s="18">
        <v>0.44</v>
      </c>
      <c r="F11" s="5" t="s">
        <v>1265</v>
      </c>
      <c r="G11" s="5" t="s">
        <v>1254</v>
      </c>
      <c r="H11" s="5" t="s">
        <v>1258</v>
      </c>
      <c r="I11" s="5" t="s">
        <v>1248</v>
      </c>
      <c r="J11" s="5" t="s">
        <v>1255</v>
      </c>
      <c r="K11" s="5" t="s">
        <v>1250</v>
      </c>
    </row>
    <row r="12" spans="1:11" ht="15" customHeight="1" x14ac:dyDescent="0.3">
      <c r="A12" s="5" t="s">
        <v>431</v>
      </c>
      <c r="B12" s="5" t="s">
        <v>896</v>
      </c>
      <c r="C12" s="5" t="s">
        <v>1023</v>
      </c>
      <c r="D12" s="5" t="s">
        <v>1266</v>
      </c>
      <c r="E12" s="18">
        <v>38.06</v>
      </c>
      <c r="F12" s="5" t="s">
        <v>1245</v>
      </c>
      <c r="G12" s="5" t="s">
        <v>1254</v>
      </c>
      <c r="H12" s="5" t="s">
        <v>1258</v>
      </c>
      <c r="I12" s="5" t="s">
        <v>1248</v>
      </c>
      <c r="J12" s="5" t="s">
        <v>1249</v>
      </c>
      <c r="K12" s="5" t="s">
        <v>1250</v>
      </c>
    </row>
    <row r="13" spans="1:11" ht="15" customHeight="1" x14ac:dyDescent="0.3">
      <c r="A13" s="5" t="s">
        <v>431</v>
      </c>
      <c r="B13" s="5" t="s">
        <v>896</v>
      </c>
      <c r="C13" s="5" t="s">
        <v>994</v>
      </c>
      <c r="D13" s="5" t="s">
        <v>1267</v>
      </c>
      <c r="E13" s="18">
        <v>45.92</v>
      </c>
      <c r="F13" s="5" t="s">
        <v>1257</v>
      </c>
      <c r="G13" s="5" t="s">
        <v>1254</v>
      </c>
      <c r="H13" s="5" t="s">
        <v>1268</v>
      </c>
      <c r="I13" s="5" t="s">
        <v>1248</v>
      </c>
      <c r="J13" s="5" t="s">
        <v>1269</v>
      </c>
      <c r="K13" s="5" t="s">
        <v>1250</v>
      </c>
    </row>
    <row r="14" spans="1:11" ht="15" customHeight="1" x14ac:dyDescent="0.3">
      <c r="A14" s="5" t="s">
        <v>507</v>
      </c>
      <c r="B14" s="5" t="s">
        <v>901</v>
      </c>
      <c r="C14" s="5" t="s">
        <v>970</v>
      </c>
      <c r="D14" s="5" t="s">
        <v>1270</v>
      </c>
      <c r="E14" s="18">
        <v>9.14</v>
      </c>
      <c r="F14" s="5" t="s">
        <v>1257</v>
      </c>
      <c r="G14" s="5" t="s">
        <v>1271</v>
      </c>
      <c r="H14" s="5" t="s">
        <v>1247</v>
      </c>
      <c r="I14" s="5" t="s">
        <v>1248</v>
      </c>
      <c r="J14" s="5" t="s">
        <v>1249</v>
      </c>
      <c r="K14" s="5" t="s">
        <v>1260</v>
      </c>
    </row>
    <row r="15" spans="1:11" ht="15" customHeight="1" x14ac:dyDescent="0.3">
      <c r="A15" s="5" t="s">
        <v>507</v>
      </c>
      <c r="B15" s="5" t="s">
        <v>901</v>
      </c>
      <c r="C15" s="5" t="s">
        <v>1023</v>
      </c>
      <c r="D15" s="5" t="s">
        <v>1266</v>
      </c>
      <c r="E15" s="18">
        <v>7.91</v>
      </c>
      <c r="F15" s="5" t="s">
        <v>1257</v>
      </c>
      <c r="G15" s="5" t="s">
        <v>1261</v>
      </c>
      <c r="H15" s="5" t="s">
        <v>1247</v>
      </c>
      <c r="I15" s="5" t="s">
        <v>1248</v>
      </c>
      <c r="J15" s="5" t="s">
        <v>1255</v>
      </c>
      <c r="K15" s="5" t="s">
        <v>1253</v>
      </c>
    </row>
  </sheetData>
  <mergeCells count="1">
    <mergeCell ref="A1:K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G43"/>
  <sheetViews>
    <sheetView zoomScaleNormal="100" workbookViewId="0">
      <selection sqref="A1:G1"/>
    </sheetView>
  </sheetViews>
  <sheetFormatPr defaultColWidth="8.6640625" defaultRowHeight="15" customHeight="1" x14ac:dyDescent="0.3"/>
  <cols>
    <col min="1" max="7" width="20" customWidth="1"/>
  </cols>
  <sheetData>
    <row r="1" spans="1:7" ht="17.25" customHeight="1" x14ac:dyDescent="0.3">
      <c r="A1" s="2" t="s">
        <v>1272</v>
      </c>
      <c r="B1" s="2"/>
      <c r="C1" s="2"/>
      <c r="D1" s="2"/>
      <c r="E1" s="2"/>
      <c r="F1" s="2"/>
      <c r="G1" s="2"/>
    </row>
    <row r="3" spans="1:7" ht="15" customHeight="1" x14ac:dyDescent="0.3">
      <c r="A3" s="12" t="s">
        <v>378</v>
      </c>
      <c r="B3" s="12" t="s">
        <v>864</v>
      </c>
      <c r="C3" s="12" t="s">
        <v>1273</v>
      </c>
      <c r="D3" s="12" t="s">
        <v>382</v>
      </c>
      <c r="E3" s="12" t="s">
        <v>1274</v>
      </c>
      <c r="F3" s="12" t="s">
        <v>1275</v>
      </c>
      <c r="G3" s="12" t="s">
        <v>1276</v>
      </c>
    </row>
    <row r="4" spans="1:7" ht="15" customHeight="1" x14ac:dyDescent="0.3">
      <c r="A4" s="5" t="s">
        <v>409</v>
      </c>
      <c r="B4" s="5" t="s">
        <v>872</v>
      </c>
      <c r="C4" s="5" t="s">
        <v>1277</v>
      </c>
      <c r="D4" s="18">
        <v>7.22</v>
      </c>
      <c r="E4" s="5"/>
      <c r="F4" s="5" t="s">
        <v>1278</v>
      </c>
      <c r="G4" s="5" t="s">
        <v>1279</v>
      </c>
    </row>
    <row r="5" spans="1:7" ht="15" customHeight="1" x14ac:dyDescent="0.3">
      <c r="A5" s="5" t="s">
        <v>409</v>
      </c>
      <c r="B5" s="5" t="s">
        <v>872</v>
      </c>
      <c r="C5" s="5" t="s">
        <v>1280</v>
      </c>
      <c r="D5" s="18">
        <v>7.51</v>
      </c>
      <c r="E5" s="18">
        <v>7.22</v>
      </c>
      <c r="F5" s="5" t="s">
        <v>1281</v>
      </c>
      <c r="G5" s="5" t="s">
        <v>1282</v>
      </c>
    </row>
    <row r="6" spans="1:7" ht="15" customHeight="1" x14ac:dyDescent="0.3">
      <c r="A6" s="5" t="s">
        <v>409</v>
      </c>
      <c r="B6" s="5" t="s">
        <v>872</v>
      </c>
      <c r="C6" s="5" t="s">
        <v>1205</v>
      </c>
      <c r="D6" s="18">
        <v>7.81</v>
      </c>
      <c r="E6" s="18">
        <v>7.51</v>
      </c>
      <c r="F6" s="5" t="s">
        <v>1281</v>
      </c>
      <c r="G6" s="5" t="s">
        <v>1283</v>
      </c>
    </row>
    <row r="7" spans="1:7" ht="15" customHeight="1" x14ac:dyDescent="0.3">
      <c r="A7" s="5" t="s">
        <v>409</v>
      </c>
      <c r="B7" s="5" t="s">
        <v>872</v>
      </c>
      <c r="C7" s="5" t="s">
        <v>1284</v>
      </c>
      <c r="D7" s="18">
        <v>8.1199999999999992</v>
      </c>
      <c r="E7" s="18">
        <v>7.81</v>
      </c>
      <c r="F7" s="5" t="s">
        <v>1281</v>
      </c>
      <c r="G7" s="5" t="s">
        <v>1282</v>
      </c>
    </row>
    <row r="8" spans="1:7" ht="15" customHeight="1" x14ac:dyDescent="0.3">
      <c r="A8" s="5" t="s">
        <v>521</v>
      </c>
      <c r="B8" s="5" t="s">
        <v>879</v>
      </c>
      <c r="C8" s="5" t="s">
        <v>1277</v>
      </c>
      <c r="D8" s="18">
        <v>10.84</v>
      </c>
      <c r="E8" s="5"/>
      <c r="F8" s="5" t="s">
        <v>1278</v>
      </c>
      <c r="G8" s="5" t="s">
        <v>1279</v>
      </c>
    </row>
    <row r="9" spans="1:7" ht="15" customHeight="1" x14ac:dyDescent="0.3">
      <c r="A9" s="5" t="s">
        <v>521</v>
      </c>
      <c r="B9" s="5" t="s">
        <v>879</v>
      </c>
      <c r="C9" s="5" t="s">
        <v>1280</v>
      </c>
      <c r="D9" s="18">
        <v>11.27</v>
      </c>
      <c r="E9" s="18">
        <v>10.84</v>
      </c>
      <c r="F9" s="5" t="s">
        <v>1281</v>
      </c>
      <c r="G9" s="5" t="s">
        <v>1282</v>
      </c>
    </row>
    <row r="10" spans="1:7" ht="15" customHeight="1" x14ac:dyDescent="0.3">
      <c r="A10" s="5" t="s">
        <v>521</v>
      </c>
      <c r="B10" s="5" t="s">
        <v>879</v>
      </c>
      <c r="C10" s="5" t="s">
        <v>1205</v>
      </c>
      <c r="D10" s="18">
        <v>11.72</v>
      </c>
      <c r="E10" s="18">
        <v>11.27</v>
      </c>
      <c r="F10" s="5" t="s">
        <v>1281</v>
      </c>
      <c r="G10" s="5" t="s">
        <v>1282</v>
      </c>
    </row>
    <row r="11" spans="1:7" ht="15" customHeight="1" x14ac:dyDescent="0.3">
      <c r="A11" s="5" t="s">
        <v>521</v>
      </c>
      <c r="B11" s="5" t="s">
        <v>879</v>
      </c>
      <c r="C11" s="5" t="s">
        <v>1284</v>
      </c>
      <c r="D11" s="18">
        <v>12.19</v>
      </c>
      <c r="E11" s="18">
        <v>11.72</v>
      </c>
      <c r="F11" s="5" t="s">
        <v>1281</v>
      </c>
      <c r="G11" s="5" t="s">
        <v>1285</v>
      </c>
    </row>
    <row r="12" spans="1:7" ht="15" customHeight="1" x14ac:dyDescent="0.3">
      <c r="A12" s="5" t="s">
        <v>451</v>
      </c>
      <c r="B12" s="5" t="s">
        <v>885</v>
      </c>
      <c r="C12" s="5" t="s">
        <v>1277</v>
      </c>
      <c r="D12" s="18">
        <v>12.92</v>
      </c>
      <c r="E12" s="5"/>
      <c r="F12" s="5" t="s">
        <v>1278</v>
      </c>
      <c r="G12" s="5" t="s">
        <v>1279</v>
      </c>
    </row>
    <row r="13" spans="1:7" ht="15" customHeight="1" x14ac:dyDescent="0.3">
      <c r="A13" s="5" t="s">
        <v>451</v>
      </c>
      <c r="B13" s="5" t="s">
        <v>885</v>
      </c>
      <c r="C13" s="5" t="s">
        <v>1280</v>
      </c>
      <c r="D13" s="18">
        <v>13.44</v>
      </c>
      <c r="E13" s="18">
        <v>12.92</v>
      </c>
      <c r="F13" s="5" t="s">
        <v>1281</v>
      </c>
      <c r="G13" s="5" t="s">
        <v>1282</v>
      </c>
    </row>
    <row r="14" spans="1:7" ht="15" customHeight="1" x14ac:dyDescent="0.3">
      <c r="A14" s="5" t="s">
        <v>451</v>
      </c>
      <c r="B14" s="5" t="s">
        <v>885</v>
      </c>
      <c r="C14" s="5" t="s">
        <v>1205</v>
      </c>
      <c r="D14" s="18">
        <v>13.98</v>
      </c>
      <c r="E14" s="18">
        <v>13.44</v>
      </c>
      <c r="F14" s="5" t="s">
        <v>1281</v>
      </c>
      <c r="G14" s="5" t="s">
        <v>1283</v>
      </c>
    </row>
    <row r="15" spans="1:7" ht="15" customHeight="1" x14ac:dyDescent="0.3">
      <c r="A15" s="5" t="s">
        <v>451</v>
      </c>
      <c r="B15" s="5" t="s">
        <v>885</v>
      </c>
      <c r="C15" s="5" t="s">
        <v>1284</v>
      </c>
      <c r="D15" s="18">
        <v>14.54</v>
      </c>
      <c r="E15" s="18">
        <v>13.98</v>
      </c>
      <c r="F15" s="5" t="s">
        <v>1281</v>
      </c>
      <c r="G15" s="5" t="s">
        <v>1285</v>
      </c>
    </row>
    <row r="16" spans="1:7" ht="15" customHeight="1" x14ac:dyDescent="0.3">
      <c r="A16" s="5" t="s">
        <v>440</v>
      </c>
      <c r="B16" s="5" t="s">
        <v>891</v>
      </c>
      <c r="C16" s="5" t="s">
        <v>1277</v>
      </c>
      <c r="D16" s="18">
        <v>0.38</v>
      </c>
      <c r="E16" s="5"/>
      <c r="F16" s="5" t="s">
        <v>1278</v>
      </c>
      <c r="G16" s="5" t="s">
        <v>1279</v>
      </c>
    </row>
    <row r="17" spans="1:7" ht="15" customHeight="1" x14ac:dyDescent="0.3">
      <c r="A17" s="5" t="s">
        <v>440</v>
      </c>
      <c r="B17" s="5" t="s">
        <v>891</v>
      </c>
      <c r="C17" s="5" t="s">
        <v>1280</v>
      </c>
      <c r="D17" s="18">
        <v>0.4</v>
      </c>
      <c r="E17" s="18">
        <v>0.38</v>
      </c>
      <c r="F17" s="5" t="s">
        <v>1281</v>
      </c>
      <c r="G17" s="5" t="s">
        <v>1283</v>
      </c>
    </row>
    <row r="18" spans="1:7" ht="15" customHeight="1" x14ac:dyDescent="0.3">
      <c r="A18" s="5" t="s">
        <v>440</v>
      </c>
      <c r="B18" s="5" t="s">
        <v>891</v>
      </c>
      <c r="C18" s="5" t="s">
        <v>1205</v>
      </c>
      <c r="D18" s="18">
        <v>0.42</v>
      </c>
      <c r="E18" s="18">
        <v>0.4</v>
      </c>
      <c r="F18" s="5" t="s">
        <v>1281</v>
      </c>
      <c r="G18" s="5" t="s">
        <v>1283</v>
      </c>
    </row>
    <row r="19" spans="1:7" ht="15" customHeight="1" x14ac:dyDescent="0.3">
      <c r="A19" s="5" t="s">
        <v>440</v>
      </c>
      <c r="B19" s="5" t="s">
        <v>891</v>
      </c>
      <c r="C19" s="5" t="s">
        <v>1284</v>
      </c>
      <c r="D19" s="18">
        <v>0.44</v>
      </c>
      <c r="E19" s="18">
        <v>0.42</v>
      </c>
      <c r="F19" s="5" t="s">
        <v>1281</v>
      </c>
      <c r="G19" s="5" t="s">
        <v>1283</v>
      </c>
    </row>
    <row r="20" spans="1:7" ht="15" customHeight="1" x14ac:dyDescent="0.3">
      <c r="A20" s="5" t="s">
        <v>431</v>
      </c>
      <c r="B20" s="5" t="s">
        <v>896</v>
      </c>
      <c r="C20" s="5" t="s">
        <v>1277</v>
      </c>
      <c r="D20" s="18">
        <v>35.700000000000003</v>
      </c>
      <c r="E20" s="5"/>
      <c r="F20" s="5" t="s">
        <v>1278</v>
      </c>
      <c r="G20" s="5" t="s">
        <v>1279</v>
      </c>
    </row>
    <row r="21" spans="1:7" ht="15" customHeight="1" x14ac:dyDescent="0.3">
      <c r="A21" s="5" t="s">
        <v>431</v>
      </c>
      <c r="B21" s="5" t="s">
        <v>896</v>
      </c>
      <c r="C21" s="5" t="s">
        <v>1280</v>
      </c>
      <c r="D21" s="18">
        <v>37.130000000000003</v>
      </c>
      <c r="E21" s="18">
        <v>35.700000000000003</v>
      </c>
      <c r="F21" s="5" t="s">
        <v>1281</v>
      </c>
      <c r="G21" s="5" t="s">
        <v>1282</v>
      </c>
    </row>
    <row r="22" spans="1:7" ht="15" customHeight="1" x14ac:dyDescent="0.3">
      <c r="A22" s="5" t="s">
        <v>431</v>
      </c>
      <c r="B22" s="5" t="s">
        <v>896</v>
      </c>
      <c r="C22" s="5" t="s">
        <v>1205</v>
      </c>
      <c r="D22" s="18">
        <v>38.619999999999997</v>
      </c>
      <c r="E22" s="18">
        <v>37.130000000000003</v>
      </c>
      <c r="F22" s="5" t="s">
        <v>1281</v>
      </c>
      <c r="G22" s="5" t="s">
        <v>1283</v>
      </c>
    </row>
    <row r="23" spans="1:7" ht="15" customHeight="1" x14ac:dyDescent="0.3">
      <c r="A23" s="5" t="s">
        <v>431</v>
      </c>
      <c r="B23" s="5" t="s">
        <v>896</v>
      </c>
      <c r="C23" s="5" t="s">
        <v>1284</v>
      </c>
      <c r="D23" s="18">
        <v>40.159999999999997</v>
      </c>
      <c r="E23" s="18">
        <v>38.619999999999997</v>
      </c>
      <c r="F23" s="5" t="s">
        <v>1281</v>
      </c>
      <c r="G23" s="5" t="s">
        <v>1283</v>
      </c>
    </row>
    <row r="24" spans="1:7" ht="15" customHeight="1" x14ac:dyDescent="0.3">
      <c r="A24" s="5" t="s">
        <v>507</v>
      </c>
      <c r="B24" s="5" t="s">
        <v>901</v>
      </c>
      <c r="C24" s="5" t="s">
        <v>1277</v>
      </c>
      <c r="D24" s="18">
        <v>7.57</v>
      </c>
      <c r="E24" s="5"/>
      <c r="F24" s="5" t="s">
        <v>1278</v>
      </c>
      <c r="G24" s="5" t="s">
        <v>1279</v>
      </c>
    </row>
    <row r="25" spans="1:7" ht="15" customHeight="1" x14ac:dyDescent="0.3">
      <c r="A25" s="5" t="s">
        <v>507</v>
      </c>
      <c r="B25" s="5" t="s">
        <v>901</v>
      </c>
      <c r="C25" s="5" t="s">
        <v>1280</v>
      </c>
      <c r="D25" s="18">
        <v>7.87</v>
      </c>
      <c r="E25" s="18">
        <v>7.57</v>
      </c>
      <c r="F25" s="5" t="s">
        <v>1281</v>
      </c>
      <c r="G25" s="5" t="s">
        <v>1283</v>
      </c>
    </row>
    <row r="26" spans="1:7" ht="15" customHeight="1" x14ac:dyDescent="0.3">
      <c r="A26" s="5" t="s">
        <v>507</v>
      </c>
      <c r="B26" s="5" t="s">
        <v>901</v>
      </c>
      <c r="C26" s="5" t="s">
        <v>1205</v>
      </c>
      <c r="D26" s="18">
        <v>8.18</v>
      </c>
      <c r="E26" s="18">
        <v>7.87</v>
      </c>
      <c r="F26" s="5" t="s">
        <v>1281</v>
      </c>
      <c r="G26" s="5" t="s">
        <v>1285</v>
      </c>
    </row>
    <row r="27" spans="1:7" ht="15" customHeight="1" x14ac:dyDescent="0.3">
      <c r="A27" s="5" t="s">
        <v>507</v>
      </c>
      <c r="B27" s="5" t="s">
        <v>901</v>
      </c>
      <c r="C27" s="5" t="s">
        <v>1284</v>
      </c>
      <c r="D27" s="18">
        <v>8.51</v>
      </c>
      <c r="E27" s="18">
        <v>8.18</v>
      </c>
      <c r="F27" s="5" t="s">
        <v>1281</v>
      </c>
      <c r="G27" s="5" t="s">
        <v>1282</v>
      </c>
    </row>
    <row r="28" spans="1:7" ht="15" customHeight="1" x14ac:dyDescent="0.3">
      <c r="A28" s="5" t="s">
        <v>422</v>
      </c>
      <c r="B28" s="5" t="s">
        <v>907</v>
      </c>
      <c r="C28" s="5" t="s">
        <v>1277</v>
      </c>
      <c r="D28" s="18">
        <v>2.72</v>
      </c>
      <c r="E28" s="5"/>
      <c r="F28" s="5" t="s">
        <v>1278</v>
      </c>
      <c r="G28" s="5" t="s">
        <v>1279</v>
      </c>
    </row>
    <row r="29" spans="1:7" ht="15" customHeight="1" x14ac:dyDescent="0.3">
      <c r="A29" s="5" t="s">
        <v>422</v>
      </c>
      <c r="B29" s="5" t="s">
        <v>907</v>
      </c>
      <c r="C29" s="5" t="s">
        <v>1280</v>
      </c>
      <c r="D29" s="18">
        <v>2.83</v>
      </c>
      <c r="E29" s="18">
        <v>2.72</v>
      </c>
      <c r="F29" s="5" t="s">
        <v>1281</v>
      </c>
      <c r="G29" s="5" t="s">
        <v>1282</v>
      </c>
    </row>
    <row r="30" spans="1:7" ht="15" customHeight="1" x14ac:dyDescent="0.3">
      <c r="A30" s="5" t="s">
        <v>422</v>
      </c>
      <c r="B30" s="5" t="s">
        <v>907</v>
      </c>
      <c r="C30" s="5" t="s">
        <v>1205</v>
      </c>
      <c r="D30" s="18">
        <v>2.94</v>
      </c>
      <c r="E30" s="18">
        <v>2.83</v>
      </c>
      <c r="F30" s="5" t="s">
        <v>1281</v>
      </c>
      <c r="G30" s="5" t="s">
        <v>1285</v>
      </c>
    </row>
    <row r="31" spans="1:7" ht="15" customHeight="1" x14ac:dyDescent="0.3">
      <c r="A31" s="5" t="s">
        <v>422</v>
      </c>
      <c r="B31" s="5" t="s">
        <v>907</v>
      </c>
      <c r="C31" s="5" t="s">
        <v>1284</v>
      </c>
      <c r="D31" s="18">
        <v>3.06</v>
      </c>
      <c r="E31" s="18">
        <v>2.94</v>
      </c>
      <c r="F31" s="5" t="s">
        <v>1281</v>
      </c>
      <c r="G31" s="5" t="s">
        <v>1283</v>
      </c>
    </row>
    <row r="32" spans="1:7" ht="15" customHeight="1" x14ac:dyDescent="0.3">
      <c r="A32" s="5" t="s">
        <v>460</v>
      </c>
      <c r="B32" s="5" t="s">
        <v>912</v>
      </c>
      <c r="C32" s="5" t="s">
        <v>1277</v>
      </c>
      <c r="D32" s="18">
        <v>19.12</v>
      </c>
      <c r="E32" s="5"/>
      <c r="F32" s="5" t="s">
        <v>1278</v>
      </c>
      <c r="G32" s="5" t="s">
        <v>1279</v>
      </c>
    </row>
    <row r="33" spans="1:7" ht="15" customHeight="1" x14ac:dyDescent="0.3">
      <c r="A33" s="5" t="s">
        <v>460</v>
      </c>
      <c r="B33" s="5" t="s">
        <v>912</v>
      </c>
      <c r="C33" s="5" t="s">
        <v>1280</v>
      </c>
      <c r="D33" s="18">
        <v>19.89</v>
      </c>
      <c r="E33" s="18">
        <v>19.12</v>
      </c>
      <c r="F33" s="5" t="s">
        <v>1281</v>
      </c>
      <c r="G33" s="5" t="s">
        <v>1285</v>
      </c>
    </row>
    <row r="34" spans="1:7" ht="15" customHeight="1" x14ac:dyDescent="0.3">
      <c r="A34" s="5" t="s">
        <v>460</v>
      </c>
      <c r="B34" s="5" t="s">
        <v>912</v>
      </c>
      <c r="C34" s="5" t="s">
        <v>1205</v>
      </c>
      <c r="D34" s="18">
        <v>20.69</v>
      </c>
      <c r="E34" s="18">
        <v>19.89</v>
      </c>
      <c r="F34" s="5" t="s">
        <v>1281</v>
      </c>
      <c r="G34" s="5" t="s">
        <v>1285</v>
      </c>
    </row>
    <row r="35" spans="1:7" ht="15" customHeight="1" x14ac:dyDescent="0.3">
      <c r="A35" s="5" t="s">
        <v>460</v>
      </c>
      <c r="B35" s="5" t="s">
        <v>912</v>
      </c>
      <c r="C35" s="5" t="s">
        <v>1284</v>
      </c>
      <c r="D35" s="18">
        <v>21.52</v>
      </c>
      <c r="E35" s="18">
        <v>20.69</v>
      </c>
      <c r="F35" s="5" t="s">
        <v>1281</v>
      </c>
      <c r="G35" s="5" t="s">
        <v>1282</v>
      </c>
    </row>
    <row r="36" spans="1:7" ht="15" customHeight="1" x14ac:dyDescent="0.3">
      <c r="A36" s="5" t="s">
        <v>550</v>
      </c>
      <c r="B36" s="5" t="s">
        <v>918</v>
      </c>
      <c r="C36" s="5" t="s">
        <v>1277</v>
      </c>
      <c r="D36" s="18">
        <v>29.75</v>
      </c>
      <c r="E36" s="5"/>
      <c r="F36" s="5" t="s">
        <v>1278</v>
      </c>
      <c r="G36" s="5" t="s">
        <v>1279</v>
      </c>
    </row>
    <row r="37" spans="1:7" ht="15" customHeight="1" x14ac:dyDescent="0.3">
      <c r="A37" s="5" t="s">
        <v>550</v>
      </c>
      <c r="B37" s="5" t="s">
        <v>918</v>
      </c>
      <c r="C37" s="5" t="s">
        <v>1280</v>
      </c>
      <c r="D37" s="18">
        <v>30.94</v>
      </c>
      <c r="E37" s="18">
        <v>29.75</v>
      </c>
      <c r="F37" s="5" t="s">
        <v>1281</v>
      </c>
      <c r="G37" s="5" t="s">
        <v>1282</v>
      </c>
    </row>
    <row r="38" spans="1:7" ht="15" customHeight="1" x14ac:dyDescent="0.3">
      <c r="A38" s="5" t="s">
        <v>550</v>
      </c>
      <c r="B38" s="5" t="s">
        <v>918</v>
      </c>
      <c r="C38" s="5" t="s">
        <v>1205</v>
      </c>
      <c r="D38" s="18">
        <v>32.18</v>
      </c>
      <c r="E38" s="18">
        <v>30.94</v>
      </c>
      <c r="F38" s="5" t="s">
        <v>1281</v>
      </c>
      <c r="G38" s="5" t="s">
        <v>1285</v>
      </c>
    </row>
    <row r="39" spans="1:7" ht="15" customHeight="1" x14ac:dyDescent="0.3">
      <c r="A39" s="5" t="s">
        <v>550</v>
      </c>
      <c r="B39" s="5" t="s">
        <v>918</v>
      </c>
      <c r="C39" s="5" t="s">
        <v>1284</v>
      </c>
      <c r="D39" s="18">
        <v>33.47</v>
      </c>
      <c r="E39" s="18">
        <v>32.18</v>
      </c>
      <c r="F39" s="5" t="s">
        <v>1281</v>
      </c>
      <c r="G39" s="5" t="s">
        <v>1283</v>
      </c>
    </row>
    <row r="40" spans="1:7" ht="15" customHeight="1" x14ac:dyDescent="0.3">
      <c r="A40" s="5" t="s">
        <v>492</v>
      </c>
      <c r="B40" s="5" t="s">
        <v>923</v>
      </c>
      <c r="C40" s="5" t="s">
        <v>1277</v>
      </c>
      <c r="D40" s="18">
        <v>23.8</v>
      </c>
      <c r="E40" s="5"/>
      <c r="F40" s="5" t="s">
        <v>1278</v>
      </c>
      <c r="G40" s="5" t="s">
        <v>1279</v>
      </c>
    </row>
    <row r="41" spans="1:7" ht="15" customHeight="1" x14ac:dyDescent="0.3">
      <c r="A41" s="5" t="s">
        <v>492</v>
      </c>
      <c r="B41" s="5" t="s">
        <v>923</v>
      </c>
      <c r="C41" s="5" t="s">
        <v>1280</v>
      </c>
      <c r="D41" s="18">
        <v>24.75</v>
      </c>
      <c r="E41" s="18">
        <v>23.8</v>
      </c>
      <c r="F41" s="5" t="s">
        <v>1281</v>
      </c>
      <c r="G41" s="5" t="s">
        <v>1282</v>
      </c>
    </row>
    <row r="42" spans="1:7" ht="15" customHeight="1" x14ac:dyDescent="0.3">
      <c r="A42" s="5" t="s">
        <v>492</v>
      </c>
      <c r="B42" s="5" t="s">
        <v>923</v>
      </c>
      <c r="C42" s="5" t="s">
        <v>1205</v>
      </c>
      <c r="D42" s="18">
        <v>25.74</v>
      </c>
      <c r="E42" s="18">
        <v>24.75</v>
      </c>
      <c r="F42" s="5" t="s">
        <v>1281</v>
      </c>
      <c r="G42" s="5" t="s">
        <v>1283</v>
      </c>
    </row>
    <row r="43" spans="1:7" ht="15" customHeight="1" x14ac:dyDescent="0.3">
      <c r="A43" s="5" t="s">
        <v>492</v>
      </c>
      <c r="B43" s="5" t="s">
        <v>923</v>
      </c>
      <c r="C43" s="5" t="s">
        <v>1284</v>
      </c>
      <c r="D43" s="18">
        <v>26.77</v>
      </c>
      <c r="E43" s="18">
        <v>25.74</v>
      </c>
      <c r="F43" s="5" t="s">
        <v>1281</v>
      </c>
      <c r="G43" s="5" t="s">
        <v>1282</v>
      </c>
    </row>
  </sheetData>
  <mergeCells count="1">
    <mergeCell ref="A1:G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0000"/>
  </sheetPr>
  <dimension ref="A1:J13"/>
  <sheetViews>
    <sheetView zoomScaleNormal="100" workbookViewId="0">
      <selection sqref="A1:J1"/>
    </sheetView>
  </sheetViews>
  <sheetFormatPr defaultColWidth="8.6640625" defaultRowHeight="15" customHeight="1" x14ac:dyDescent="0.3"/>
  <cols>
    <col min="1" max="10" width="22" customWidth="1"/>
  </cols>
  <sheetData>
    <row r="1" spans="1:10" ht="17.399999999999999" x14ac:dyDescent="0.3">
      <c r="A1" s="2" t="s">
        <v>1286</v>
      </c>
      <c r="B1" s="2"/>
      <c r="C1" s="2"/>
      <c r="D1" s="2"/>
      <c r="E1" s="2"/>
      <c r="F1" s="2"/>
      <c r="G1" s="2"/>
      <c r="H1" s="2"/>
      <c r="I1" s="2"/>
      <c r="J1" s="2"/>
    </row>
    <row r="2" spans="1:10" ht="14.4" x14ac:dyDescent="0.3">
      <c r="A2" s="3" t="s">
        <v>1287</v>
      </c>
    </row>
    <row r="3" spans="1:10" ht="28.2" x14ac:dyDescent="0.3">
      <c r="A3" s="4" t="s">
        <v>839</v>
      </c>
      <c r="B3" s="4" t="s">
        <v>840</v>
      </c>
      <c r="C3" s="4" t="s">
        <v>1288</v>
      </c>
      <c r="D3" s="4" t="s">
        <v>1289</v>
      </c>
      <c r="E3" s="4" t="s">
        <v>1290</v>
      </c>
      <c r="F3" s="4" t="s">
        <v>1291</v>
      </c>
      <c r="G3" s="4" t="s">
        <v>1292</v>
      </c>
      <c r="H3" s="4" t="s">
        <v>1293</v>
      </c>
      <c r="I3" s="4" t="s">
        <v>1294</v>
      </c>
      <c r="J3" s="4" t="s">
        <v>1295</v>
      </c>
    </row>
    <row r="4" spans="1:10" ht="14.4" x14ac:dyDescent="0.3">
      <c r="A4" s="5" t="s">
        <v>485</v>
      </c>
      <c r="B4" s="5" t="s">
        <v>846</v>
      </c>
      <c r="C4" s="5" t="b">
        <f>FALSE()</f>
        <v>0</v>
      </c>
      <c r="D4" s="5"/>
      <c r="E4" s="5"/>
      <c r="F4" s="18">
        <v>28.29</v>
      </c>
      <c r="G4" s="18">
        <v>28.35</v>
      </c>
      <c r="H4" s="19">
        <v>2E-3</v>
      </c>
      <c r="I4" s="5">
        <v>4</v>
      </c>
      <c r="J4" s="5"/>
    </row>
    <row r="5" spans="1:10" ht="14.4" x14ac:dyDescent="0.3">
      <c r="A5" s="5" t="s">
        <v>408</v>
      </c>
      <c r="B5" s="5" t="s">
        <v>848</v>
      </c>
      <c r="C5" s="5" t="b">
        <f>FALSE()</f>
        <v>0</v>
      </c>
      <c r="D5" s="5"/>
      <c r="E5" s="5"/>
      <c r="F5" s="18">
        <v>15.74</v>
      </c>
      <c r="G5" s="18">
        <v>15.16</v>
      </c>
      <c r="H5" s="19">
        <v>-3.6999999999999998E-2</v>
      </c>
      <c r="I5" s="5">
        <v>11</v>
      </c>
      <c r="J5" s="5"/>
    </row>
    <row r="6" spans="1:10" ht="14.4" x14ac:dyDescent="0.3">
      <c r="A6" s="5" t="s">
        <v>454</v>
      </c>
      <c r="B6" s="5" t="s">
        <v>850</v>
      </c>
      <c r="C6" s="5" t="b">
        <f>TRUE()</f>
        <v>1</v>
      </c>
      <c r="D6" s="5" t="s">
        <v>759</v>
      </c>
      <c r="E6" s="5" t="s">
        <v>1296</v>
      </c>
      <c r="F6" s="18">
        <v>16.59</v>
      </c>
      <c r="G6" s="18">
        <v>17.73</v>
      </c>
      <c r="H6" s="19">
        <v>6.9000000000000006E-2</v>
      </c>
      <c r="I6" s="5">
        <v>10</v>
      </c>
      <c r="J6" s="5" t="b">
        <f>TRUE()</f>
        <v>1</v>
      </c>
    </row>
    <row r="7" spans="1:10" ht="14.4" x14ac:dyDescent="0.3">
      <c r="A7" s="5" t="s">
        <v>531</v>
      </c>
      <c r="B7" s="5" t="s">
        <v>851</v>
      </c>
      <c r="C7" s="5" t="b">
        <f>FALSE()</f>
        <v>0</v>
      </c>
      <c r="D7" s="5"/>
      <c r="E7" s="5"/>
      <c r="F7" s="18">
        <v>29.49</v>
      </c>
      <c r="G7" s="18">
        <v>33.880000000000003</v>
      </c>
      <c r="H7" s="19">
        <v>0.14899999999999999</v>
      </c>
      <c r="I7" s="5">
        <v>5</v>
      </c>
      <c r="J7" s="5"/>
    </row>
    <row r="8" spans="1:10" ht="14.4" x14ac:dyDescent="0.3">
      <c r="A8" s="5" t="s">
        <v>479</v>
      </c>
      <c r="B8" s="5" t="s">
        <v>852</v>
      </c>
      <c r="C8" s="5" t="b">
        <f>FALSE()</f>
        <v>0</v>
      </c>
      <c r="D8" s="5"/>
      <c r="E8" s="5"/>
      <c r="F8" s="18">
        <v>10.84</v>
      </c>
      <c r="G8" s="18">
        <v>11.74</v>
      </c>
      <c r="H8" s="19">
        <v>8.3000000000000004E-2</v>
      </c>
      <c r="I8" s="5">
        <v>3</v>
      </c>
      <c r="J8" s="5"/>
    </row>
    <row r="9" spans="1:10" ht="14.4" x14ac:dyDescent="0.3">
      <c r="A9" s="5" t="s">
        <v>575</v>
      </c>
      <c r="B9" s="5" t="s">
        <v>853</v>
      </c>
      <c r="C9" s="5" t="b">
        <f>TRUE()</f>
        <v>1</v>
      </c>
      <c r="D9" s="5" t="s">
        <v>1297</v>
      </c>
      <c r="E9" s="5" t="s">
        <v>1298</v>
      </c>
      <c r="F9" s="18">
        <v>20.059999999999999</v>
      </c>
      <c r="G9" s="18">
        <v>21.2</v>
      </c>
      <c r="H9" s="19">
        <v>5.7000000000000002E-2</v>
      </c>
      <c r="I9" s="5">
        <v>3</v>
      </c>
      <c r="J9" s="5" t="b">
        <f>TRUE()</f>
        <v>1</v>
      </c>
    </row>
    <row r="10" spans="1:10" ht="14.4" x14ac:dyDescent="0.3">
      <c r="A10" s="5" t="s">
        <v>474</v>
      </c>
      <c r="B10" s="5" t="s">
        <v>855</v>
      </c>
      <c r="C10" s="5" t="b">
        <f>FALSE()</f>
        <v>0</v>
      </c>
      <c r="D10" s="5"/>
      <c r="E10" s="5"/>
      <c r="F10" s="18">
        <v>20.149999999999999</v>
      </c>
      <c r="G10" s="18">
        <v>20.21</v>
      </c>
      <c r="H10" s="19">
        <v>3.0000000000000001E-3</v>
      </c>
      <c r="I10" s="5">
        <v>7</v>
      </c>
      <c r="J10" s="5"/>
    </row>
    <row r="11" spans="1:10" ht="14.4" x14ac:dyDescent="0.3">
      <c r="A11" s="5" t="s">
        <v>443</v>
      </c>
      <c r="B11" s="5" t="s">
        <v>856</v>
      </c>
      <c r="C11" s="5" t="b">
        <f>FALSE()</f>
        <v>0</v>
      </c>
      <c r="D11" s="5"/>
      <c r="E11" s="5"/>
      <c r="F11" s="18">
        <v>10.029999999999999</v>
      </c>
      <c r="G11" s="18">
        <v>11.46</v>
      </c>
      <c r="H11" s="19">
        <v>0.14299999999999999</v>
      </c>
      <c r="I11" s="5">
        <v>1</v>
      </c>
      <c r="J11" s="5"/>
    </row>
    <row r="12" spans="1:10" ht="14.4" x14ac:dyDescent="0.3">
      <c r="A12" s="5" t="s">
        <v>421</v>
      </c>
      <c r="B12" s="5" t="s">
        <v>858</v>
      </c>
      <c r="C12" s="5" t="b">
        <f>FALSE()</f>
        <v>0</v>
      </c>
      <c r="D12" s="5"/>
      <c r="E12" s="5"/>
      <c r="F12" s="18">
        <v>13.03</v>
      </c>
      <c r="G12" s="18">
        <v>14.07</v>
      </c>
      <c r="H12" s="19">
        <v>0.08</v>
      </c>
      <c r="I12" s="5">
        <v>8</v>
      </c>
      <c r="J12" s="5"/>
    </row>
    <row r="13" spans="1:10" ht="14.4" x14ac:dyDescent="0.3">
      <c r="A13" s="5" t="s">
        <v>430</v>
      </c>
      <c r="B13" s="5" t="s">
        <v>860</v>
      </c>
      <c r="C13" s="5" t="b">
        <f>FALSE()</f>
        <v>0</v>
      </c>
      <c r="D13" s="5"/>
      <c r="E13" s="5"/>
      <c r="F13" s="18">
        <v>13.32</v>
      </c>
      <c r="G13" s="18">
        <v>14</v>
      </c>
      <c r="H13" s="19">
        <v>5.0999999999999997E-2</v>
      </c>
      <c r="I13" s="5">
        <v>1</v>
      </c>
      <c r="J13" s="5"/>
    </row>
  </sheetData>
  <mergeCells count="1">
    <mergeCell ref="A1:J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J14"/>
  <sheetViews>
    <sheetView zoomScaleNormal="100" workbookViewId="0">
      <selection activeCell="A3" sqref="A3"/>
    </sheetView>
  </sheetViews>
  <sheetFormatPr defaultColWidth="8.6640625" defaultRowHeight="15" customHeight="1" x14ac:dyDescent="0.3"/>
  <cols>
    <col min="1" max="10" width="24" customWidth="1"/>
  </cols>
  <sheetData>
    <row r="1" spans="1:10" ht="17.399999999999999" x14ac:dyDescent="0.3">
      <c r="A1" s="2" t="s">
        <v>1299</v>
      </c>
      <c r="B1" s="2"/>
      <c r="C1" s="2"/>
      <c r="D1" s="2"/>
      <c r="E1" s="2"/>
      <c r="F1" s="2"/>
      <c r="G1" s="2"/>
      <c r="H1" s="2"/>
      <c r="I1" s="2"/>
      <c r="J1" s="2"/>
    </row>
    <row r="2" spans="1:10" ht="14.4" x14ac:dyDescent="0.3">
      <c r="A2" s="3" t="s">
        <v>1300</v>
      </c>
    </row>
    <row r="3" spans="1:10" ht="28.2" x14ac:dyDescent="0.3">
      <c r="A3" s="4" t="s">
        <v>1301</v>
      </c>
      <c r="B3" s="4" t="s">
        <v>1302</v>
      </c>
      <c r="C3" s="4" t="s">
        <v>1303</v>
      </c>
      <c r="D3" s="4" t="s">
        <v>1304</v>
      </c>
      <c r="E3" s="4" t="s">
        <v>1305</v>
      </c>
      <c r="F3" s="4" t="s">
        <v>1306</v>
      </c>
      <c r="G3" s="4" t="s">
        <v>1307</v>
      </c>
      <c r="H3" s="4" t="s">
        <v>1308</v>
      </c>
      <c r="I3" s="4" t="s">
        <v>1309</v>
      </c>
      <c r="J3" s="4" t="s">
        <v>1310</v>
      </c>
    </row>
    <row r="4" spans="1:10" ht="14.4" x14ac:dyDescent="0.3">
      <c r="A4" s="5" t="s">
        <v>1311</v>
      </c>
      <c r="B4" s="5" t="s">
        <v>1312</v>
      </c>
      <c r="C4" s="5" t="s">
        <v>1313</v>
      </c>
      <c r="D4" s="5" t="s">
        <v>1314</v>
      </c>
      <c r="E4" s="20">
        <v>450000</v>
      </c>
      <c r="F4" s="21">
        <v>0.7</v>
      </c>
      <c r="G4" s="20">
        <v>315000</v>
      </c>
      <c r="H4" s="5" t="s">
        <v>1268</v>
      </c>
      <c r="I4" s="5" t="s">
        <v>1315</v>
      </c>
      <c r="J4" s="5" t="b">
        <f>FALSE()</f>
        <v>0</v>
      </c>
    </row>
    <row r="5" spans="1:10" ht="14.4" x14ac:dyDescent="0.3">
      <c r="A5" s="5" t="s">
        <v>1316</v>
      </c>
      <c r="B5" s="5" t="s">
        <v>1312</v>
      </c>
      <c r="C5" s="5" t="s">
        <v>1317</v>
      </c>
      <c r="D5" s="5" t="s">
        <v>1318</v>
      </c>
      <c r="E5" s="20">
        <v>280000</v>
      </c>
      <c r="F5" s="21">
        <v>0.6</v>
      </c>
      <c r="G5" s="20">
        <v>168000</v>
      </c>
      <c r="H5" s="5" t="s">
        <v>1247</v>
      </c>
      <c r="I5" s="5" t="s">
        <v>1319</v>
      </c>
      <c r="J5" s="5" t="b">
        <f>FALSE()</f>
        <v>0</v>
      </c>
    </row>
    <row r="6" spans="1:10" ht="14.4" x14ac:dyDescent="0.3">
      <c r="A6" s="5" t="s">
        <v>1320</v>
      </c>
      <c r="B6" s="5" t="s">
        <v>1321</v>
      </c>
      <c r="C6" s="5" t="s">
        <v>1322</v>
      </c>
      <c r="D6" s="5" t="s">
        <v>1323</v>
      </c>
      <c r="E6" s="20">
        <v>520000</v>
      </c>
      <c r="F6" s="21">
        <v>0.8</v>
      </c>
      <c r="G6" s="20">
        <v>416000</v>
      </c>
      <c r="H6" s="5" t="s">
        <v>1258</v>
      </c>
      <c r="I6" s="5" t="s">
        <v>1324</v>
      </c>
      <c r="J6" s="5" t="b">
        <f>FALSE()</f>
        <v>0</v>
      </c>
    </row>
    <row r="7" spans="1:10" ht="14.4" x14ac:dyDescent="0.3">
      <c r="A7" s="5" t="s">
        <v>1325</v>
      </c>
      <c r="B7" s="5" t="s">
        <v>1326</v>
      </c>
      <c r="C7" s="5" t="s">
        <v>1327</v>
      </c>
      <c r="D7" s="5" t="s">
        <v>1328</v>
      </c>
      <c r="E7" s="20">
        <v>180000</v>
      </c>
      <c r="F7" s="21">
        <v>0.5</v>
      </c>
      <c r="G7" s="20">
        <v>90000</v>
      </c>
      <c r="H7" s="5" t="s">
        <v>1247</v>
      </c>
      <c r="I7" s="5" t="s">
        <v>1319</v>
      </c>
      <c r="J7" s="5" t="b">
        <f>FALSE()</f>
        <v>0</v>
      </c>
    </row>
    <row r="8" spans="1:10" ht="14.4" x14ac:dyDescent="0.3">
      <c r="A8" s="5" t="s">
        <v>1329</v>
      </c>
      <c r="B8" s="5" t="s">
        <v>1330</v>
      </c>
      <c r="C8" s="5" t="s">
        <v>1331</v>
      </c>
      <c r="D8" s="5" t="s">
        <v>1332</v>
      </c>
      <c r="E8" s="20">
        <v>340000</v>
      </c>
      <c r="F8" s="21">
        <v>0.55000000000000004</v>
      </c>
      <c r="G8" s="20">
        <v>187000</v>
      </c>
      <c r="H8" s="5" t="s">
        <v>1268</v>
      </c>
      <c r="I8" s="5" t="s">
        <v>1315</v>
      </c>
      <c r="J8" s="5" t="b">
        <f>TRUE()</f>
        <v>1</v>
      </c>
    </row>
    <row r="9" spans="1:10" ht="14.4" x14ac:dyDescent="0.3">
      <c r="A9" s="5" t="s">
        <v>1333</v>
      </c>
      <c r="B9" s="5" t="s">
        <v>1334</v>
      </c>
      <c r="C9" s="5" t="s">
        <v>1335</v>
      </c>
      <c r="D9" s="5" t="s">
        <v>1336</v>
      </c>
      <c r="E9" s="20">
        <v>150000</v>
      </c>
      <c r="F9" s="21">
        <v>0.65</v>
      </c>
      <c r="G9" s="20">
        <v>97500</v>
      </c>
      <c r="H9" s="5" t="s">
        <v>1268</v>
      </c>
      <c r="I9" s="5" t="s">
        <v>1315</v>
      </c>
      <c r="J9" s="5" t="b">
        <f>TRUE()</f>
        <v>1</v>
      </c>
    </row>
    <row r="10" spans="1:10" ht="14.4" x14ac:dyDescent="0.3">
      <c r="A10" s="5" t="s">
        <v>1337</v>
      </c>
      <c r="B10" s="5" t="s">
        <v>1338</v>
      </c>
      <c r="C10" s="5" t="s">
        <v>1339</v>
      </c>
      <c r="D10" s="5" t="s">
        <v>1340</v>
      </c>
      <c r="E10" s="20">
        <v>220000</v>
      </c>
      <c r="F10" s="21">
        <v>0.75</v>
      </c>
      <c r="G10" s="20">
        <v>165000</v>
      </c>
      <c r="H10" s="5" t="s">
        <v>1258</v>
      </c>
      <c r="I10" s="5" t="s">
        <v>1324</v>
      </c>
      <c r="J10" s="5" t="b">
        <f>TRUE()</f>
        <v>1</v>
      </c>
    </row>
    <row r="11" spans="1:10" ht="14.4" x14ac:dyDescent="0.3">
      <c r="A11" s="5" t="s">
        <v>1341</v>
      </c>
      <c r="B11" s="5" t="s">
        <v>1342</v>
      </c>
      <c r="C11" s="5" t="s">
        <v>1343</v>
      </c>
      <c r="D11" s="5" t="s">
        <v>1344</v>
      </c>
      <c r="E11" s="20">
        <v>95000</v>
      </c>
      <c r="F11" s="21">
        <v>0.7</v>
      </c>
      <c r="G11" s="20">
        <v>66500</v>
      </c>
      <c r="H11" s="5" t="s">
        <v>1258</v>
      </c>
      <c r="I11" s="5" t="s">
        <v>1324</v>
      </c>
      <c r="J11" s="5" t="b">
        <f>FALSE()</f>
        <v>0</v>
      </c>
    </row>
    <row r="12" spans="1:10" ht="14.4" x14ac:dyDescent="0.3">
      <c r="A12" s="5" t="s">
        <v>1345</v>
      </c>
      <c r="B12" s="5" t="s">
        <v>1346</v>
      </c>
      <c r="C12" s="5" t="s">
        <v>1347</v>
      </c>
      <c r="D12" s="5" t="s">
        <v>1348</v>
      </c>
      <c r="E12" s="20">
        <v>130000</v>
      </c>
      <c r="F12" s="21">
        <v>0.8</v>
      </c>
      <c r="G12" s="20">
        <v>104000</v>
      </c>
      <c r="H12" s="5" t="s">
        <v>1268</v>
      </c>
      <c r="I12" s="5" t="s">
        <v>1315</v>
      </c>
      <c r="J12" s="5" t="b">
        <f>FALSE()</f>
        <v>0</v>
      </c>
    </row>
    <row r="13" spans="1:10" ht="14.4" x14ac:dyDescent="0.3">
      <c r="A13" s="5" t="s">
        <v>1349</v>
      </c>
      <c r="B13" s="5" t="s">
        <v>1350</v>
      </c>
      <c r="C13" s="5" t="s">
        <v>1351</v>
      </c>
      <c r="D13" s="5" t="s">
        <v>1352</v>
      </c>
      <c r="E13" s="20">
        <v>200000</v>
      </c>
      <c r="F13" s="21">
        <v>0.6</v>
      </c>
      <c r="G13" s="20">
        <v>120000</v>
      </c>
      <c r="H13" s="5" t="s">
        <v>1268</v>
      </c>
      <c r="I13" s="5" t="s">
        <v>1319</v>
      </c>
      <c r="J13" s="5" t="b">
        <f>TRUE()</f>
        <v>1</v>
      </c>
    </row>
    <row r="14" spans="1:10" ht="14.4" x14ac:dyDescent="0.3">
      <c r="A14" s="13"/>
      <c r="D14" s="13" t="s">
        <v>1353</v>
      </c>
      <c r="E14" s="20">
        <f>SUM(E4:E13)</f>
        <v>2565000</v>
      </c>
      <c r="G14" s="20">
        <f>SUM(G4:G13)</f>
        <v>1729000</v>
      </c>
    </row>
  </sheetData>
  <mergeCells count="1">
    <mergeCell ref="A1:J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Coverage Notes</vt:lpstr>
      <vt:lpstr>Field Dependency Map</vt:lpstr>
      <vt:lpstr>Analyses Summary</vt:lpstr>
      <vt:lpstr>Transactions (Fact)</vt:lpstr>
      <vt:lpstr>Customer (Dim)</vt:lpstr>
      <vt:lpstr>Product (Dim)</vt:lpstr>
      <vt:lpstr>Sales Rep (Dim)</vt:lpstr>
      <vt:lpstr>Deals (Fact)</vt:lpstr>
      <vt:lpstr>Contracts</vt:lpstr>
      <vt:lpstr>Promotions</vt:lpstr>
      <vt:lpstr>Cost-to-Serve</vt:lpstr>
      <vt:lpstr>Competitive Intel</vt:lpstr>
      <vt:lpstr>List Price History</vt:lpstr>
      <vt:lpstr>Churn Events</vt:lpstr>
      <vt:lpstr>Opportunity Sizing (Output)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Raghav Hada</cp:lastModifiedBy>
  <cp:revision>0</cp:revision>
  <dcterms:created xsi:type="dcterms:W3CDTF">2026-03-09T14:47:21Z</dcterms:created>
  <dcterms:modified xsi:type="dcterms:W3CDTF">2026-03-12T18:41:23Z</dcterms:modified>
  <dc:language>en-US</dc:language>
</cp:coreProperties>
</file>